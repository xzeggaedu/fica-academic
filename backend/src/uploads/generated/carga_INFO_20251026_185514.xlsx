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L2_Horarios" sheetId="1" r:id="rId1"/>
    <sheet name="Docentes_Lista" sheetId="2" r:id="rId2"/>
  </sheets>
  <calcPr calcId="124519" fullCalcOnLoad="1"/>
</workbook>
</file>

<file path=xl/sharedStrings.xml><?xml version="1.0" encoding="utf-8"?>
<sst xmlns="http://schemas.openxmlformats.org/spreadsheetml/2006/main" count="1741" uniqueCount="486">
  <si>
    <t>No</t>
  </si>
  <si>
    <t>COD_CATE</t>
  </si>
  <si>
    <t>COD_ASIG</t>
  </si>
  <si>
    <t>ASIGNATURA</t>
  </si>
  <si>
    <t>SECCION</t>
  </si>
  <si>
    <t>HORARIO</t>
  </si>
  <si>
    <t>DURACION</t>
  </si>
  <si>
    <t>DIAS</t>
  </si>
  <si>
    <t>MODALIDAD</t>
  </si>
  <si>
    <t>TIT</t>
  </si>
  <si>
    <t>DOCENTE</t>
  </si>
  <si>
    <t>ID_DOCENTE</t>
  </si>
  <si>
    <t>DES</t>
  </si>
  <si>
    <t>ADCC-I</t>
  </si>
  <si>
    <t>Administración De Centros De Cómputo</t>
  </si>
  <si>
    <t>01</t>
  </si>
  <si>
    <t>20:30-22:00</t>
  </si>
  <si>
    <t>90 min</t>
  </si>
  <si>
    <t>Lu-Mi</t>
  </si>
  <si>
    <t>EN LÍNEA</t>
  </si>
  <si>
    <t>06:30-08:00</t>
  </si>
  <si>
    <t>Ju-Ma</t>
  </si>
  <si>
    <t>ADCC-V</t>
  </si>
  <si>
    <t>00:00-23:59</t>
  </si>
  <si>
    <t>Do-Ju-Lu-Ma-Mi-Sa-Vi</t>
  </si>
  <si>
    <t>AULA VIRTUAL</t>
  </si>
  <si>
    <t>PRO</t>
  </si>
  <si>
    <t>ALG1-E</t>
  </si>
  <si>
    <t>Algoritmos I</t>
  </si>
  <si>
    <t>09:45-11:15</t>
  </si>
  <si>
    <t>Lu-Vi</t>
  </si>
  <si>
    <t>PRESENCIAL</t>
  </si>
  <si>
    <t>02</t>
  </si>
  <si>
    <t>18:40-20:10</t>
  </si>
  <si>
    <t>ALG1-V</t>
  </si>
  <si>
    <t>03</t>
  </si>
  <si>
    <t>RED</t>
  </si>
  <si>
    <t>ARTE-V</t>
  </si>
  <si>
    <t>Administración De Recursos Tecnológicos (virtual)</t>
  </si>
  <si>
    <t>AUDS-V</t>
  </si>
  <si>
    <t>Auditoría De Sistemas</t>
  </si>
  <si>
    <t>BAS1-I</t>
  </si>
  <si>
    <t>Bases De Datos I</t>
  </si>
  <si>
    <t>08:00-09:30</t>
  </si>
  <si>
    <t>17:00-18:30</t>
  </si>
  <si>
    <t>04</t>
  </si>
  <si>
    <t>07:00-10:00</t>
  </si>
  <si>
    <t>180 min</t>
  </si>
  <si>
    <t>Do</t>
  </si>
  <si>
    <t xml:space="preserve">PRESENCIAL </t>
  </si>
  <si>
    <t>BAS1-V</t>
  </si>
  <si>
    <t>Base De Datos I</t>
  </si>
  <si>
    <t>BAS2-I</t>
  </si>
  <si>
    <t>Base De Datos II</t>
  </si>
  <si>
    <t>Mi-Sa</t>
  </si>
  <si>
    <t>BAS2-V</t>
  </si>
  <si>
    <t>ELE</t>
  </si>
  <si>
    <t>CIDI-V</t>
  </si>
  <si>
    <t>Sistemas Digitales (virtual)</t>
  </si>
  <si>
    <t>DPWEB-V</t>
  </si>
  <si>
    <t>Desarrollo De La Plataforma Web</t>
  </si>
  <si>
    <t>ELE1-V</t>
  </si>
  <si>
    <t>Electrónica (virtual)</t>
  </si>
  <si>
    <t>ESPRO-V</t>
  </si>
  <si>
    <t>Estándares De Programación</t>
  </si>
  <si>
    <t>ETPS1-V</t>
  </si>
  <si>
    <t>Técnicas De Producción Industrial De Software I</t>
  </si>
  <si>
    <t>ETPS2-V</t>
  </si>
  <si>
    <t>Técnicas De Producción Industrial De Software II</t>
  </si>
  <si>
    <t>ETPS3-T</t>
  </si>
  <si>
    <t>Técnicas De Calidad De Software</t>
  </si>
  <si>
    <t>ETPS3-V</t>
  </si>
  <si>
    <t>ETPS4-V</t>
  </si>
  <si>
    <t>Normas Y Estándares Internacionales</t>
  </si>
  <si>
    <t>ETS1-V</t>
  </si>
  <si>
    <t>Desarrollo De Redes De Datos I (et1) (virtual)</t>
  </si>
  <si>
    <t>ETS2-V</t>
  </si>
  <si>
    <t>Desarrollo De Redes De Datos II (et2) (virtual)</t>
  </si>
  <si>
    <t>ETS3-T</t>
  </si>
  <si>
    <t>Desarrollo De Redes De Datos III</t>
  </si>
  <si>
    <t>ETS3-V</t>
  </si>
  <si>
    <t>Desarrollo De Redes De Datos III (et3) (virtual)</t>
  </si>
  <si>
    <t>ETS4-V</t>
  </si>
  <si>
    <t>Desarrollo De Redes De Datos IV (et4) (virtual)</t>
  </si>
  <si>
    <t>IACI-I</t>
  </si>
  <si>
    <t>Introducción Al Análisis De Circuitos</t>
  </si>
  <si>
    <t>10:00-13:00</t>
  </si>
  <si>
    <t>IACI-V</t>
  </si>
  <si>
    <t>Introducción Al Análisis De Circuitos (virtual)</t>
  </si>
  <si>
    <t>INER-T</t>
  </si>
  <si>
    <t>Instalaciones Eléctricas Residenciales</t>
  </si>
  <si>
    <t>INF1-I</t>
  </si>
  <si>
    <t>Informática</t>
  </si>
  <si>
    <t>06</t>
  </si>
  <si>
    <t>09:45-11-15</t>
  </si>
  <si>
    <t>07</t>
  </si>
  <si>
    <t>09</t>
  </si>
  <si>
    <t>Presencial</t>
  </si>
  <si>
    <t>05</t>
  </si>
  <si>
    <t>08</t>
  </si>
  <si>
    <t>10</t>
  </si>
  <si>
    <t>17:00-20:00</t>
  </si>
  <si>
    <t>Vi</t>
  </si>
  <si>
    <t>11</t>
  </si>
  <si>
    <t>16:00-19:00</t>
  </si>
  <si>
    <t>Sa</t>
  </si>
  <si>
    <t>12</t>
  </si>
  <si>
    <t>INF1-V</t>
  </si>
  <si>
    <t>Informática I (virtual)</t>
  </si>
  <si>
    <t>INFG-V</t>
  </si>
  <si>
    <t>Informática General (virtual)</t>
  </si>
  <si>
    <t>INT1-E</t>
  </si>
  <si>
    <t>Internet I</t>
  </si>
  <si>
    <t>LEMA-V</t>
  </si>
  <si>
    <t>Lenguaje De Maquina (virtual)</t>
  </si>
  <si>
    <t>LOCO-V</t>
  </si>
  <si>
    <t>Lógica Computacional</t>
  </si>
  <si>
    <t>OCOM-V</t>
  </si>
  <si>
    <t>Organización De Las Computadoras (virtual)</t>
  </si>
  <si>
    <t>OTSO-V</t>
  </si>
  <si>
    <t>Orientación Técnica Del Software</t>
  </si>
  <si>
    <t>PROE-I</t>
  </si>
  <si>
    <t>Programación Orientada A Objetos</t>
  </si>
  <si>
    <t>13:00-16:00</t>
  </si>
  <si>
    <t>PROE-V</t>
  </si>
  <si>
    <t>PROG1-I</t>
  </si>
  <si>
    <t>Programación I</t>
  </si>
  <si>
    <t>PROG1-V</t>
  </si>
  <si>
    <t>PROG2-I</t>
  </si>
  <si>
    <t>Programación II</t>
  </si>
  <si>
    <t>PROG2-V</t>
  </si>
  <si>
    <t>Programación II (virtual)</t>
  </si>
  <si>
    <t>PROG3-V</t>
  </si>
  <si>
    <t>Programación III (virtual)</t>
  </si>
  <si>
    <t>PROG4-V</t>
  </si>
  <si>
    <t>Programación IV</t>
  </si>
  <si>
    <t>RED1-V</t>
  </si>
  <si>
    <t>Redes I (virtual)</t>
  </si>
  <si>
    <t>RED2-V</t>
  </si>
  <si>
    <t>Redes II (virtual)</t>
  </si>
  <si>
    <t>SINF-V</t>
  </si>
  <si>
    <t>Sistemas De Información Gerencial</t>
  </si>
  <si>
    <t>SIOPA-V</t>
  </si>
  <si>
    <t>Sistemas Operativos (virtual)</t>
  </si>
  <si>
    <t>SIOP-I</t>
  </si>
  <si>
    <t>Sistemas Operativos</t>
  </si>
  <si>
    <t>SIOP-V</t>
  </si>
  <si>
    <t>SIPTD-V</t>
  </si>
  <si>
    <t>Sistemas Para La Toma De Decisiones</t>
  </si>
  <si>
    <t>STRE-T</t>
  </si>
  <si>
    <t>Soporte Técnico De Red</t>
  </si>
  <si>
    <t>Lu-Mi-Sa</t>
  </si>
  <si>
    <t>TETC-V</t>
  </si>
  <si>
    <t>Tendencias Tecnológicas Y De Management</t>
  </si>
  <si>
    <t>TICO-V</t>
  </si>
  <si>
    <t>Tecnología De La Información En Las Comunicaciones (virtual)</t>
  </si>
  <si>
    <t>TPR1-V</t>
  </si>
  <si>
    <t>Técnicas De Programación I (virtual)</t>
  </si>
  <si>
    <t>TPR2-V</t>
  </si>
  <si>
    <t>Técnicas De Programación II (virtual)</t>
  </si>
  <si>
    <t>UML-V</t>
  </si>
  <si>
    <t>Lenguaje Unificado De Modelado (uml)</t>
  </si>
  <si>
    <t>ET2BD-T</t>
  </si>
  <si>
    <t>Análisis De Datos En Proyectos De Big Data</t>
  </si>
  <si>
    <t>Lu</t>
  </si>
  <si>
    <t>AUTO-V</t>
  </si>
  <si>
    <t>Automatización Industrial Y Robótica (virtual)</t>
  </si>
  <si>
    <t>INF1I-V</t>
  </si>
  <si>
    <t>LOAP-I</t>
  </si>
  <si>
    <t>Lógica Aplicada</t>
  </si>
  <si>
    <t>MYTI-I</t>
  </si>
  <si>
    <t>Metodología Y Técnicas De La Investigación</t>
  </si>
  <si>
    <t>MYTI-V</t>
  </si>
  <si>
    <t>Metodología Y Técnicas De Investigación (virtual)</t>
  </si>
  <si>
    <t>PELOG-DG</t>
  </si>
  <si>
    <t>Pensamiento Lógico</t>
  </si>
  <si>
    <t>PELOG-V</t>
  </si>
  <si>
    <t>Pensamiento Logico (virtual)</t>
  </si>
  <si>
    <t>SICA-V</t>
  </si>
  <si>
    <t>Sistema De Control Administrativo (virtual)</t>
  </si>
  <si>
    <t>SIEL-V</t>
  </si>
  <si>
    <t>Sistemas Lineales Electromecánicos (virtual)</t>
  </si>
  <si>
    <t>SIPR-V</t>
  </si>
  <si>
    <t>Sistemas Integrados De Producción (virtual)</t>
  </si>
  <si>
    <t>STCB-V</t>
  </si>
  <si>
    <t>Seminario Taller De Competencias (virtual)</t>
  </si>
  <si>
    <t>DIPA-V</t>
  </si>
  <si>
    <t>Diseño De Páginas Web (virtual)</t>
  </si>
  <si>
    <t>AYDS-I</t>
  </si>
  <si>
    <t>Lenguaje Unificado Modelado (uml)</t>
  </si>
  <si>
    <t>EPRO-I</t>
  </si>
  <si>
    <t>MOCO-T</t>
  </si>
  <si>
    <t>Motores Y Controles</t>
  </si>
  <si>
    <t>OCOM-I</t>
  </si>
  <si>
    <t>Organización De Las Computadoras</t>
  </si>
  <si>
    <t>PROG3-I</t>
  </si>
  <si>
    <t>Programación III</t>
  </si>
  <si>
    <t>RED2-E</t>
  </si>
  <si>
    <t>Redes De Datos II</t>
  </si>
  <si>
    <t>ET3BD-T</t>
  </si>
  <si>
    <t>Elaboración De Reportes De Datos En Proyectos De Big Data</t>
  </si>
  <si>
    <t>Ma</t>
  </si>
  <si>
    <t>SIPR-T</t>
  </si>
  <si>
    <t>Sistemas Integrados De Producción</t>
  </si>
  <si>
    <t>STCB-H</t>
  </si>
  <si>
    <t>Seminario Taller De Competencias</t>
  </si>
  <si>
    <t>DIPA-AC</t>
  </si>
  <si>
    <t>Diseño De Páginas Web</t>
  </si>
  <si>
    <t>ARTE-T</t>
  </si>
  <si>
    <t>Administración De Recursos Tecnológicos</t>
  </si>
  <si>
    <t>AUDS-E</t>
  </si>
  <si>
    <t>DPWEB-I</t>
  </si>
  <si>
    <t>08:00-11:00</t>
  </si>
  <si>
    <t>ETPS4-T</t>
  </si>
  <si>
    <t>ETS4-T</t>
  </si>
  <si>
    <t>Desarrollo De Redes De Datos IV</t>
  </si>
  <si>
    <t>FAB-T</t>
  </si>
  <si>
    <t>Introducción A Diseño Y Fabricación Digital</t>
  </si>
  <si>
    <t>PROG4-I</t>
  </si>
  <si>
    <t>SINF-I</t>
  </si>
  <si>
    <t>SIOP-N</t>
  </si>
  <si>
    <t>ET1BD-T</t>
  </si>
  <si>
    <t>Diseño De Proyectos De Big Data</t>
  </si>
  <si>
    <t>Ju</t>
  </si>
  <si>
    <t>SICA-I</t>
  </si>
  <si>
    <t>Sistema De Control Administrativo</t>
  </si>
  <si>
    <t>SIEL-I</t>
  </si>
  <si>
    <t>Sistemas Lineales Electromecánicos</t>
  </si>
  <si>
    <t>CIDI-I</t>
  </si>
  <si>
    <t>Sistemas Digitales</t>
  </si>
  <si>
    <t>ELE1-I</t>
  </si>
  <si>
    <t>Electrónica Básica</t>
  </si>
  <si>
    <t>ELIN-T</t>
  </si>
  <si>
    <t>Electrónica Industrial</t>
  </si>
  <si>
    <t>INF1-T</t>
  </si>
  <si>
    <t>Informática General</t>
  </si>
  <si>
    <t>LOCO-N</t>
  </si>
  <si>
    <t>RED1-E</t>
  </si>
  <si>
    <t>Redes De Datos I</t>
  </si>
  <si>
    <t>REDA-T</t>
  </si>
  <si>
    <t>Comunicaciones Y Redes De Datos</t>
  </si>
  <si>
    <t>TER2-T</t>
  </si>
  <si>
    <t>Tecnología Certificada En Redes II</t>
  </si>
  <si>
    <t>TER4-T</t>
  </si>
  <si>
    <t>Tecnología Certificada En Redes IV</t>
  </si>
  <si>
    <t>TPR1-N</t>
  </si>
  <si>
    <t>Técnicas De Programación I</t>
  </si>
  <si>
    <t>TPR2-N</t>
  </si>
  <si>
    <t>Técnicas De Programación II</t>
  </si>
  <si>
    <t>ADRE-I</t>
  </si>
  <si>
    <t>Administración De Redes</t>
  </si>
  <si>
    <t>ASEM-I</t>
  </si>
  <si>
    <t>Lenguaje De Maquina</t>
  </si>
  <si>
    <t>ASTD-E</t>
  </si>
  <si>
    <t>DSIW2-T</t>
  </si>
  <si>
    <t>Desarrollo De Sistemas Informáticos Web II</t>
  </si>
  <si>
    <t>EMPTE-T</t>
  </si>
  <si>
    <t>Emprendedurismo Tecnológico</t>
  </si>
  <si>
    <t>ETPS1-T</t>
  </si>
  <si>
    <t>ETPS2-T</t>
  </si>
  <si>
    <t>ETS1-T</t>
  </si>
  <si>
    <t>Desarrollo De Redes De Datos I</t>
  </si>
  <si>
    <t>ETS2-T</t>
  </si>
  <si>
    <t>Desarrollo De Redes De Datos II</t>
  </si>
  <si>
    <t>OTSO-N</t>
  </si>
  <si>
    <t>TETC-N</t>
  </si>
  <si>
    <t>DOCENTE (Clave)</t>
  </si>
  <si>
    <t>TITULO</t>
  </si>
  <si>
    <t>Adalberto Cortez Portillo</t>
  </si>
  <si>
    <t>Adolfo José Araujo Jaimes</t>
  </si>
  <si>
    <t>Aldo Rene Guevara Ramos</t>
  </si>
  <si>
    <t>Alfredo Omar Rodriguez Torres</t>
  </si>
  <si>
    <t>Alicia Del Carmen Martinez De Lopez</t>
  </si>
  <si>
    <t>Amílcar Alfredo Chavarria Cruz</t>
  </si>
  <si>
    <t>Ana Carolina Aguilar De Ramírez</t>
  </si>
  <si>
    <t>Ana Cecilia De Ramirez</t>
  </si>
  <si>
    <t>Ana Elizabeth Villalta Lopez</t>
  </si>
  <si>
    <t>Ana Marcela Argueta Meléndez</t>
  </si>
  <si>
    <t>Ana María Alvarado De Aguilar</t>
  </si>
  <si>
    <t>Ana Patricia Vásquez Cruz</t>
  </si>
  <si>
    <t>Antonio Adalberto Hurtado Martínez</t>
  </si>
  <si>
    <t>Aníbal Alfredo Cortez Portillo</t>
  </si>
  <si>
    <t>Aníbal Hernandez</t>
  </si>
  <si>
    <t>Aracely Pérez De Hernández</t>
  </si>
  <si>
    <t>Armando De Jesus Lopez</t>
  </si>
  <si>
    <t>Augusto Antonio Villalta Aguilar</t>
  </si>
  <si>
    <t>Blanca Estela Quintanilla De Aguilar</t>
  </si>
  <si>
    <t>Boris Ivan Lemus Rodriguez</t>
  </si>
  <si>
    <t>Carlos Alberto Calderon Flores</t>
  </si>
  <si>
    <t>Carlos Alberto Guevara Ramos</t>
  </si>
  <si>
    <t>Carlos Edgardo Vasquez Espino</t>
  </si>
  <si>
    <t>Carlos Marvin Amaya Vásquez</t>
  </si>
  <si>
    <t>Carlos Roberto Monrroy Alfaro</t>
  </si>
  <si>
    <t>Carlos Rodrigo Ayala Alvarado</t>
  </si>
  <si>
    <t>Carmen Estela Sanchez Rosales</t>
  </si>
  <si>
    <t>Carmen Verónica Serrano</t>
  </si>
  <si>
    <t>Cecilia guadalupe Méndez de Romero</t>
  </si>
  <si>
    <t>Cira Jazmine Alas Alvarenga</t>
  </si>
  <si>
    <t>Claudia Lissette Rodriguez De Dimas</t>
  </si>
  <si>
    <t>César Antonio Huezo Hernandez</t>
  </si>
  <si>
    <t>César David Vallecillo Guardado</t>
  </si>
  <si>
    <t>César Omar Ramos Vides</t>
  </si>
  <si>
    <t>Daniel Neftali Ramírez Salazar</t>
  </si>
  <si>
    <t>Daniel Orlando Argueta Portillo</t>
  </si>
  <si>
    <t>Daniel Samael Amaya Lopez</t>
  </si>
  <si>
    <t>David Alexander Segura Hernandez</t>
  </si>
  <si>
    <t>David Armando García Pacheco</t>
  </si>
  <si>
    <t>David Roberto Quinteros Villalobos</t>
  </si>
  <si>
    <t>Delmy Yamileth Molina Rodriguez</t>
  </si>
  <si>
    <t>Delmy Zuleyma Ceron Martínez</t>
  </si>
  <si>
    <t>Diana Carolina Orellana Orellana</t>
  </si>
  <si>
    <t>Diana Celine Gómez Aguilar</t>
  </si>
  <si>
    <t>Diego Rigoberto Aquino Perez</t>
  </si>
  <si>
    <t>Edgar Geovanny Gomez Hernández</t>
  </si>
  <si>
    <t>Edgar Rafael Cuellar López</t>
  </si>
  <si>
    <t>Edgar Ricardo Mendoza Hernández</t>
  </si>
  <si>
    <t>Eduardo Alfredo Montoya Giron</t>
  </si>
  <si>
    <t>Edwin Antonio Martinez</t>
  </si>
  <si>
    <t>Edwin Osvaldo Melgar Fuentes</t>
  </si>
  <si>
    <t>Elba Yamileth Membreño Bernal</t>
  </si>
  <si>
    <t>Elmer Mauricio Reyes Ruiz</t>
  </si>
  <si>
    <t>Erick Alberto Morales Reyes</t>
  </si>
  <si>
    <t>Erick Raúl Martínez Melendez</t>
  </si>
  <si>
    <t>Estefany Patricia Perez Lue</t>
  </si>
  <si>
    <t>Evelin Yamileth Saravia Arce</t>
  </si>
  <si>
    <t>Ever Alfredo Guzmán Alfaro</t>
  </si>
  <si>
    <t>Ever Rene Ramírez Ramos</t>
  </si>
  <si>
    <t>Fabio Ernesto Escobar Reyes</t>
  </si>
  <si>
    <t>Felix Alberto Alfaro Melendez</t>
  </si>
  <si>
    <t>Francisco Antonio De La O Quintanilla</t>
  </si>
  <si>
    <t>Francisco Eduardo Peraza Molina</t>
  </si>
  <si>
    <t>Francisco Javier Orellana</t>
  </si>
  <si>
    <t>Fredy Armando Calderón Valenzuela</t>
  </si>
  <si>
    <t>Gabriel Alejandro Domínguez</t>
  </si>
  <si>
    <t>Gabriel Ernesto Gómez Marroquin</t>
  </si>
  <si>
    <t>Gabriela Marisol Domínguez Hernández</t>
  </si>
  <si>
    <t>Genaro Antonio Hernández Lemus</t>
  </si>
  <si>
    <t>German Omar Lima Molina</t>
  </si>
  <si>
    <t>Gerson Guillermo Rivas Lopez</t>
  </si>
  <si>
    <t>Gladys Patricia Serrano De Mejía</t>
  </si>
  <si>
    <t>Gladys Verónica Chavarría De Molina</t>
  </si>
  <si>
    <t>Gloria Elizabeth Chavez De Castillo</t>
  </si>
  <si>
    <t>Gustavo Adolfo Cortez Ramirez</t>
  </si>
  <si>
    <t>Halmhar Vladimir Rosales Díaz</t>
  </si>
  <si>
    <t>Hector David Larios Ayala</t>
  </si>
  <si>
    <t>Hermes Ernesto Guevara</t>
  </si>
  <si>
    <t>Hugo Ernesto Chavez Aguilar</t>
  </si>
  <si>
    <t>Humberto Ismael De La O Hernández</t>
  </si>
  <si>
    <t>Héctor David Rivera Rodríguez</t>
  </si>
  <si>
    <t>Ileana Margarita Dominguez Fuentes</t>
  </si>
  <si>
    <t>Ilsy Albetia Peñate De Monge</t>
  </si>
  <si>
    <t>Ingrid Elizabeth Vides Melendez</t>
  </si>
  <si>
    <t>Irvin Alberto Chinchilla Alvarez</t>
  </si>
  <si>
    <t>Irvin Elenilson Ramos Escobar</t>
  </si>
  <si>
    <t>Jaime Alberto Calderon Hernández</t>
  </si>
  <si>
    <t>Jaime Alexander López Ventura</t>
  </si>
  <si>
    <t>Jaime Omar Avalos Mendoza</t>
  </si>
  <si>
    <t>Jaime Omar Rivas Gomez</t>
  </si>
  <si>
    <t>Jairo Edgardo Herrera Pereira</t>
  </si>
  <si>
    <t>Jenny Abigail Guevara García</t>
  </si>
  <si>
    <t>Jesús Amílcar Rivas Flores</t>
  </si>
  <si>
    <t>Jorge Alberto Arana Alvarez</t>
  </si>
  <si>
    <t>Jorge Ernesto Aguilar Carpio</t>
  </si>
  <si>
    <t>Josué Jonathan Martinez Flores</t>
  </si>
  <si>
    <t>José Alberto Ramos Rivera</t>
  </si>
  <si>
    <t>José Armando Menjivar Argueta</t>
  </si>
  <si>
    <t>José David Orellana Mendoza</t>
  </si>
  <si>
    <t>José Ernesto Chavarria Chavez</t>
  </si>
  <si>
    <t>José Ernesto Majano Vasquez</t>
  </si>
  <si>
    <t>José Francisco Ramirez</t>
  </si>
  <si>
    <t>José Gustavo Giron Paz</t>
  </si>
  <si>
    <t>José Juan Marroquin De León</t>
  </si>
  <si>
    <t>José Luis Martínez Rivera</t>
  </si>
  <si>
    <t>José Manuel Gomez Chavez</t>
  </si>
  <si>
    <t>José Mario Aguilar Orellana</t>
  </si>
  <si>
    <t>José Mauricio Rivera Mejía</t>
  </si>
  <si>
    <t>José Oswaldo Barrera Montez</t>
  </si>
  <si>
    <t>José Rigoberto Salguero Perdomo</t>
  </si>
  <si>
    <t>José Roberto Linares Peña</t>
  </si>
  <si>
    <t>José Roberto Navarrete Rivera</t>
  </si>
  <si>
    <t>Juan Francisco Espinoza Escobar</t>
  </si>
  <si>
    <t>Juan Pablo Baires Ponce</t>
  </si>
  <si>
    <t>Julia Cristina Castro De Cornejo</t>
  </si>
  <si>
    <t>Julio Ernesto Escobar Marroquin</t>
  </si>
  <si>
    <t>Julio Ernesto Luna Chavez</t>
  </si>
  <si>
    <t>Julio Ernesto Zelaya Peraza</t>
  </si>
  <si>
    <t>Karla Marcela Bolaños Vides</t>
  </si>
  <si>
    <t>Katty Estela Hernández De Martínez</t>
  </si>
  <si>
    <t>Kenneth Alexander López Villatoro</t>
  </si>
  <si>
    <t>Kesia Astrid Mejía Valladares</t>
  </si>
  <si>
    <t>Lilian Del Carmen Hernandez De Guerrero</t>
  </si>
  <si>
    <t>Lilian Noemí romero de Leiva</t>
  </si>
  <si>
    <t>Luis Alfredo Arroyo Perez</t>
  </si>
  <si>
    <t>Luis Alonso Hernandez Hernandez</t>
  </si>
  <si>
    <t>Luis Ernesto Lemus Molina</t>
  </si>
  <si>
    <t>Luis Fernando Mejía Flores</t>
  </si>
  <si>
    <t>Luis Napoleón Rodríguez</t>
  </si>
  <si>
    <t>Manuel De Jesús Cardoza Hernández</t>
  </si>
  <si>
    <t>Marcia Beatriz Miranda Aguiñada</t>
  </si>
  <si>
    <t>Marco Antonio Rivas Lopez</t>
  </si>
  <si>
    <t>Marco Tulio Valdivieso Portillo</t>
  </si>
  <si>
    <t>Marcos Ernesto Méndez Zepeda</t>
  </si>
  <si>
    <t>Margarita Lisseth Hernandez Alfaro</t>
  </si>
  <si>
    <t>Mario Alberto Chinchilla Alvarez</t>
  </si>
  <si>
    <t>Mario Alberto Orellana Valle</t>
  </si>
  <si>
    <t>Mario Ernesto Mejía Sibrián</t>
  </si>
  <si>
    <t>Mario Francisco Mendez Zepeda</t>
  </si>
  <si>
    <t>Mario José Rodríguez García</t>
  </si>
  <si>
    <t>Martha Cecilia Molina Vásquez De Menjivar</t>
  </si>
  <si>
    <t>Martha Eugenia Hernández Arévalo</t>
  </si>
  <si>
    <t>Martha Lilian Martínez De Ramos</t>
  </si>
  <si>
    <t>Marvil Elenilson Hernández Montoya</t>
  </si>
  <si>
    <t>María De Los Ángeles Aguilar De Alvarado</t>
  </si>
  <si>
    <t>María José Callejas Vaquerano</t>
  </si>
  <si>
    <t>Mauricio Ernesto Henríquez Ramos</t>
  </si>
  <si>
    <t>Mauricio Orlando Chinchilla Burgos</t>
  </si>
  <si>
    <t>Max Ernesto Molina Morales</t>
  </si>
  <si>
    <t>Maximino Herrera Hernández</t>
  </si>
  <si>
    <t>Mayra Arely Marroquin De Perez</t>
  </si>
  <si>
    <t>Maíra Elizabeth Chacón Orellana</t>
  </si>
  <si>
    <t>Mercedes Haydee Lopez De Rivas</t>
  </si>
  <si>
    <t>Miguel Ángel Galdamez Guerrero</t>
  </si>
  <si>
    <t>Milagro Del Carmen Arteaga De Marroquin</t>
  </si>
  <si>
    <t>Milton Antonio García Gómez</t>
  </si>
  <si>
    <t>Milton Armando Alvarado Vasquez</t>
  </si>
  <si>
    <t>Moisés Humberto Martínez Ventura</t>
  </si>
  <si>
    <t>Neftali Salazar Herrera</t>
  </si>
  <si>
    <t>Nelson Eduardo Flores</t>
  </si>
  <si>
    <t>Nelson Raúl Vásquez Flores</t>
  </si>
  <si>
    <t>Noe Elias Rodriguez Merlos</t>
  </si>
  <si>
    <t>Noeydi Del Carmen Calderon Aguirre</t>
  </si>
  <si>
    <t>Noé Elías Rodríguez Merlos</t>
  </si>
  <si>
    <t>Néstor Rene Mendoza Perez</t>
  </si>
  <si>
    <t>Odir Arquimides Chacon Luna</t>
  </si>
  <si>
    <t>Orlando Enrique Anaya Batres</t>
  </si>
  <si>
    <t>Pablo Ernesto Martinez Canales</t>
  </si>
  <si>
    <t>Ramon Ernesto Pineda Quijano</t>
  </si>
  <si>
    <t>Raúl Ernesto Reyes Guardado</t>
  </si>
  <si>
    <t>Raúl Ernesto Villalta Morales</t>
  </si>
  <si>
    <t>Rebeca Elizabeth Orellana De Lopez</t>
  </si>
  <si>
    <t>Ricardo Edgardo Valle Valencia</t>
  </si>
  <si>
    <t>Ricardo Javier Hernández Chávez</t>
  </si>
  <si>
    <t>Rita Hercilia Araujo De Melendez</t>
  </si>
  <si>
    <t>Roberto Carlos Rivas Escobar</t>
  </si>
  <si>
    <t>Roberto Carlos Zepeda Orellana</t>
  </si>
  <si>
    <t>Roberto Ernesto Cubías Mejía</t>
  </si>
  <si>
    <t>Roberto Hernan Orellana Guevara</t>
  </si>
  <si>
    <t>Rodolfo Antonio Rivas Lopez</t>
  </si>
  <si>
    <t>Rodrigo Moisés Maravilla Hernández</t>
  </si>
  <si>
    <t>Román Wilfredo Cabezas Mendez</t>
  </si>
  <si>
    <t>Rony Alexander Sibrian Arévalo</t>
  </si>
  <si>
    <t>Rosa Lidia Rivera De Lopez</t>
  </si>
  <si>
    <t>Rosa María Melendez Crespín</t>
  </si>
  <si>
    <t>Rubén Alfredo Gómez López</t>
  </si>
  <si>
    <t>Rubén Ernesto Sandoval Morejón</t>
  </si>
  <si>
    <t>Sandra Maritza Cantanero</t>
  </si>
  <si>
    <t>Saúl Alexander Ortiz Hernández</t>
  </si>
  <si>
    <t>Sergio Mario Arteaga Velasquez</t>
  </si>
  <si>
    <t>Sergio Roberto Álvarez Carlos</t>
  </si>
  <si>
    <t>Virgilio Miguel Acevedo Mendez</t>
  </si>
  <si>
    <t>Virna Larisa Álvarez Carlos De Aguilar</t>
  </si>
  <si>
    <t>Vladimir Godofredo Calderon Cruz</t>
  </si>
  <si>
    <t>Víctor Danilo Castro Rivera</t>
  </si>
  <si>
    <t>Víctor Manuel Antonio Rivas Merino</t>
  </si>
  <si>
    <t>Walter Ernesto Martínez Molina</t>
  </si>
  <si>
    <t>Wilber Evenor Gomez Rivas</t>
  </si>
  <si>
    <t>William Alexander Coreas Rodríguez</t>
  </si>
  <si>
    <t>Wilson Armando Orellana Alas</t>
  </si>
  <si>
    <t>Wolfgang Bladimir Martínez Rivera</t>
  </si>
  <si>
    <t>Yessica Maribel Serrano De Lima</t>
  </si>
  <si>
    <t>Zenobia Grimana Ardón De Perez</t>
  </si>
  <si>
    <t>Álvaro Javier Gomez Galdamez</t>
  </si>
  <si>
    <t>Ángel Alfredo Calderon Rodriguez</t>
  </si>
  <si>
    <t>Óscar Alberto Aguirre Guerrero</t>
  </si>
  <si>
    <t>Óscar Alberto Escobar Lopez</t>
  </si>
  <si>
    <t>Óscar Alberto Rivera Alvarez</t>
  </si>
  <si>
    <t>Óscar Alfredo Montoya Giron</t>
  </si>
  <si>
    <t>Óscar Emilio Molina Aguila</t>
  </si>
  <si>
    <t>Óscar Geovanni Álvarez Carlos</t>
  </si>
  <si>
    <t>Ing.</t>
  </si>
  <si>
    <t>Lda.</t>
  </si>
  <si>
    <t>Arq.</t>
  </si>
  <si>
    <t>Lic.</t>
  </si>
  <si>
    <t>Inga.</t>
  </si>
  <si>
    <t>Tec.</t>
  </si>
  <si>
    <t>Dr.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</si>
</sst>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8B1539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0" fontId="2" fillId="0" borderId="0" xfId="0" applyFont="1" applyAlignment="1" applyProtection="1">
      <alignment horizontal="center" vertical="center"/>
      <protection locked="0"/>
    </xf>
    <xf numFmtId="0" fontId="2" fillId="0" borderId="0" xfId="0" applyFont="1" applyAlignment="1" applyProtection="1">
      <alignment horizontal="left" vertical="center"/>
      <protection locked="0"/>
    </xf>
    <xf numFmtId="0" fontId="2" fillId="3" borderId="0" xfId="0" applyFont="1" applyFill="1" applyAlignment="1">
      <alignment horizontal="left" vertical="center"/>
    </xf>
    <xf numFmtId="0" fontId="3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72"/>
  <sheetViews>
    <sheetView tabSelected="1" workbookViewId="0"/>
  </sheetViews>
  <sheetFormatPr defaultRowHeight="15"/>
  <cols>
    <col min="1" max="1" width="5.7109375" customWidth="1"/>
    <col min="2" max="3" width="12.7109375" customWidth="1"/>
    <col min="4" max="4" width="60.7109375" customWidth="1"/>
    <col min="5" max="5" width="10.7109375" customWidth="1"/>
    <col min="6" max="6" width="15.7109375" customWidth="1"/>
    <col min="7" max="7" width="12.7109375" customWidth="1"/>
    <col min="8" max="8" width="25.7109375" customWidth="1"/>
    <col min="9" max="9" width="16.7109375" customWidth="1"/>
    <col min="10" max="10" width="6.7109375" customWidth="1"/>
    <col min="11" max="11" width="40.7109375" customWidth="1"/>
    <col min="12" max="12" width="15.7109375" hidden="1" customWidth="1"/>
  </cols>
  <sheetData>
    <row r="1" spans="1:12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30" customHeight="1">
      <c r="A2" s="2">
        <v>1</v>
      </c>
      <c r="B2" s="3" t="s">
        <v>12</v>
      </c>
      <c r="C2" s="3" t="s">
        <v>13</v>
      </c>
      <c r="D2" s="4" t="s">
        <v>14</v>
      </c>
      <c r="E2" s="3" t="s">
        <v>15</v>
      </c>
      <c r="F2" s="3" t="s">
        <v>16</v>
      </c>
      <c r="G2" s="3" t="s">
        <v>17</v>
      </c>
      <c r="H2" s="4" t="s">
        <v>18</v>
      </c>
      <c r="I2" s="4" t="s">
        <v>19</v>
      </c>
      <c r="J2" s="5">
        <f>IFERROR(VLOOKUP(K2,Docentes_Lista!$A$2:$C$212,2,FALSE),"")</f>
        <v>0</v>
      </c>
      <c r="K2" s="4"/>
      <c r="L2" s="2">
        <f>IFERROR(VLOOKUP(K2,Docentes_Lista!$A$2:$C$212,3,FALSE),"")</f>
        <v>0</v>
      </c>
    </row>
    <row r="3" spans="1:12" ht="30" customHeight="1">
      <c r="A3" s="2">
        <v>2</v>
      </c>
      <c r="B3" s="3" t="s">
        <v>12</v>
      </c>
      <c r="C3" s="3" t="s">
        <v>13</v>
      </c>
      <c r="D3" s="4" t="s">
        <v>14</v>
      </c>
      <c r="E3" s="3" t="s">
        <v>15</v>
      </c>
      <c r="F3" s="3" t="s">
        <v>20</v>
      </c>
      <c r="G3" s="3" t="s">
        <v>17</v>
      </c>
      <c r="H3" s="4" t="s">
        <v>21</v>
      </c>
      <c r="I3" s="4" t="s">
        <v>19</v>
      </c>
      <c r="J3" s="5">
        <f>IFERROR(VLOOKUP(K3,Docentes_Lista!$A$2:$C$212,2,FALSE),"")</f>
        <v>0</v>
      </c>
      <c r="K3" s="4"/>
      <c r="L3" s="2">
        <f>IFERROR(VLOOKUP(K3,Docentes_Lista!$A$2:$C$212,3,FALSE),"")</f>
        <v>0</v>
      </c>
    </row>
    <row r="4" spans="1:12" ht="30" customHeight="1">
      <c r="A4" s="2">
        <v>3</v>
      </c>
      <c r="B4" s="3" t="s">
        <v>12</v>
      </c>
      <c r="C4" s="3" t="s">
        <v>22</v>
      </c>
      <c r="D4" s="4" t="s">
        <v>14</v>
      </c>
      <c r="E4" s="3" t="s">
        <v>15</v>
      </c>
      <c r="F4" s="3" t="s">
        <v>23</v>
      </c>
      <c r="G4" s="3"/>
      <c r="H4" s="4" t="s">
        <v>24</v>
      </c>
      <c r="I4" s="4" t="s">
        <v>25</v>
      </c>
      <c r="J4" s="5">
        <f>IFERROR(VLOOKUP(K4,Docentes_Lista!$A$2:$C$212,2,FALSE),"")</f>
        <v>0</v>
      </c>
      <c r="K4" s="4"/>
      <c r="L4" s="2">
        <f>IFERROR(VLOOKUP(K4,Docentes_Lista!$A$2:$C$212,3,FALSE),"")</f>
        <v>0</v>
      </c>
    </row>
    <row r="5" spans="1:12" ht="30" customHeight="1">
      <c r="A5" s="2">
        <v>4</v>
      </c>
      <c r="B5" s="3" t="s">
        <v>26</v>
      </c>
      <c r="C5" s="3" t="s">
        <v>27</v>
      </c>
      <c r="D5" s="4" t="s">
        <v>28</v>
      </c>
      <c r="E5" s="3" t="s">
        <v>15</v>
      </c>
      <c r="F5" s="3" t="s">
        <v>29</v>
      </c>
      <c r="G5" s="3" t="s">
        <v>17</v>
      </c>
      <c r="H5" s="4" t="s">
        <v>30</v>
      </c>
      <c r="I5" s="4" t="s">
        <v>31</v>
      </c>
      <c r="J5" s="5">
        <f>IFERROR(VLOOKUP(K5,Docentes_Lista!$A$2:$C$212,2,FALSE),"")</f>
        <v>0</v>
      </c>
      <c r="K5" s="4"/>
      <c r="L5" s="2">
        <f>IFERROR(VLOOKUP(K5,Docentes_Lista!$A$2:$C$212,3,FALSE),"")</f>
        <v>0</v>
      </c>
    </row>
    <row r="6" spans="1:12" ht="30" customHeight="1">
      <c r="A6" s="2">
        <v>5</v>
      </c>
      <c r="B6" s="3" t="s">
        <v>26</v>
      </c>
      <c r="C6" s="3" t="s">
        <v>27</v>
      </c>
      <c r="D6" s="4" t="s">
        <v>28</v>
      </c>
      <c r="E6" s="3" t="s">
        <v>32</v>
      </c>
      <c r="F6" s="3" t="s">
        <v>33</v>
      </c>
      <c r="G6" s="3" t="s">
        <v>17</v>
      </c>
      <c r="H6" s="4" t="s">
        <v>18</v>
      </c>
      <c r="I6" s="4" t="s">
        <v>31</v>
      </c>
      <c r="J6" s="5">
        <f>IFERROR(VLOOKUP(K6,Docentes_Lista!$A$2:$C$212,2,FALSE),"")</f>
        <v>0</v>
      </c>
      <c r="K6" s="4"/>
      <c r="L6" s="2">
        <f>IFERROR(VLOOKUP(K6,Docentes_Lista!$A$2:$C$212,3,FALSE),"")</f>
        <v>0</v>
      </c>
    </row>
    <row r="7" spans="1:12" ht="30" customHeight="1">
      <c r="A7" s="2">
        <v>6</v>
      </c>
      <c r="B7" s="3" t="s">
        <v>26</v>
      </c>
      <c r="C7" s="3" t="s">
        <v>34</v>
      </c>
      <c r="D7" s="4" t="s">
        <v>28</v>
      </c>
      <c r="E7" s="3" t="s">
        <v>35</v>
      </c>
      <c r="F7" s="3" t="s">
        <v>23</v>
      </c>
      <c r="G7" s="3"/>
      <c r="H7" s="4" t="s">
        <v>24</v>
      </c>
      <c r="I7" s="4" t="s">
        <v>25</v>
      </c>
      <c r="J7" s="5">
        <f>IFERROR(VLOOKUP(K7,Docentes_Lista!$A$2:$C$212,2,FALSE),"")</f>
        <v>0</v>
      </c>
      <c r="K7" s="4"/>
      <c r="L7" s="2">
        <f>IFERROR(VLOOKUP(K7,Docentes_Lista!$A$2:$C$212,3,FALSE),"")</f>
        <v>0</v>
      </c>
    </row>
    <row r="8" spans="1:12" ht="30" customHeight="1">
      <c r="A8" s="2">
        <v>7</v>
      </c>
      <c r="B8" s="3" t="s">
        <v>36</v>
      </c>
      <c r="C8" s="3" t="s">
        <v>37</v>
      </c>
      <c r="D8" s="4" t="s">
        <v>38</v>
      </c>
      <c r="E8" s="3" t="s">
        <v>15</v>
      </c>
      <c r="F8" s="3" t="s">
        <v>23</v>
      </c>
      <c r="G8" s="3"/>
      <c r="H8" s="4" t="s">
        <v>24</v>
      </c>
      <c r="I8" s="4" t="s">
        <v>25</v>
      </c>
      <c r="J8" s="5">
        <f>IFERROR(VLOOKUP(K8,Docentes_Lista!$A$2:$C$212,2,FALSE),"")</f>
        <v>0</v>
      </c>
      <c r="K8" s="4"/>
      <c r="L8" s="2">
        <f>IFERROR(VLOOKUP(K8,Docentes_Lista!$A$2:$C$212,3,FALSE),"")</f>
        <v>0</v>
      </c>
    </row>
    <row r="9" spans="1:12" ht="30" customHeight="1">
      <c r="A9" s="2">
        <v>8</v>
      </c>
      <c r="B9" s="3" t="s">
        <v>12</v>
      </c>
      <c r="C9" s="3" t="s">
        <v>39</v>
      </c>
      <c r="D9" s="4" t="s">
        <v>40</v>
      </c>
      <c r="E9" s="3" t="s">
        <v>15</v>
      </c>
      <c r="F9" s="3" t="s">
        <v>23</v>
      </c>
      <c r="G9" s="3"/>
      <c r="H9" s="4" t="s">
        <v>24</v>
      </c>
      <c r="I9" s="4" t="s">
        <v>25</v>
      </c>
      <c r="J9" s="5">
        <f>IFERROR(VLOOKUP(K9,Docentes_Lista!$A$2:$C$212,2,FALSE),"")</f>
        <v>0</v>
      </c>
      <c r="K9" s="4"/>
      <c r="L9" s="2">
        <f>IFERROR(VLOOKUP(K9,Docentes_Lista!$A$2:$C$212,3,FALSE),"")</f>
        <v>0</v>
      </c>
    </row>
    <row r="10" spans="1:12" ht="30" customHeight="1">
      <c r="A10" s="2">
        <v>9</v>
      </c>
      <c r="B10" s="3" t="s">
        <v>12</v>
      </c>
      <c r="C10" s="3" t="s">
        <v>41</v>
      </c>
      <c r="D10" s="4" t="s">
        <v>42</v>
      </c>
      <c r="E10" s="3" t="s">
        <v>15</v>
      </c>
      <c r="F10" s="3" t="s">
        <v>43</v>
      </c>
      <c r="G10" s="3" t="s">
        <v>17</v>
      </c>
      <c r="H10" s="4" t="s">
        <v>30</v>
      </c>
      <c r="I10" s="4" t="s">
        <v>31</v>
      </c>
      <c r="J10" s="5">
        <f>IFERROR(VLOOKUP(K10,Docentes_Lista!$A$2:$C$212,2,FALSE),"")</f>
        <v>0</v>
      </c>
      <c r="K10" s="4"/>
      <c r="L10" s="2">
        <f>IFERROR(VLOOKUP(K10,Docentes_Lista!$A$2:$C$212,3,FALSE),"")</f>
        <v>0</v>
      </c>
    </row>
    <row r="11" spans="1:12" ht="30" customHeight="1">
      <c r="A11" s="2">
        <v>10</v>
      </c>
      <c r="B11" s="3" t="s">
        <v>12</v>
      </c>
      <c r="C11" s="3" t="s">
        <v>41</v>
      </c>
      <c r="D11" s="4" t="s">
        <v>42</v>
      </c>
      <c r="E11" s="3" t="s">
        <v>35</v>
      </c>
      <c r="F11" s="3" t="s">
        <v>33</v>
      </c>
      <c r="G11" s="3" t="s">
        <v>17</v>
      </c>
      <c r="H11" s="4" t="s">
        <v>18</v>
      </c>
      <c r="I11" s="4" t="s">
        <v>31</v>
      </c>
      <c r="J11" s="5">
        <f>IFERROR(VLOOKUP(K11,Docentes_Lista!$A$2:$C$212,2,FALSE),"")</f>
        <v>0</v>
      </c>
      <c r="K11" s="4"/>
      <c r="L11" s="2">
        <f>IFERROR(VLOOKUP(K11,Docentes_Lista!$A$2:$C$212,3,FALSE),"")</f>
        <v>0</v>
      </c>
    </row>
    <row r="12" spans="1:12" ht="30" customHeight="1">
      <c r="A12" s="2">
        <v>11</v>
      </c>
      <c r="B12" s="3" t="s">
        <v>12</v>
      </c>
      <c r="C12" s="3" t="s">
        <v>41</v>
      </c>
      <c r="D12" s="4" t="s">
        <v>42</v>
      </c>
      <c r="E12" s="3" t="s">
        <v>32</v>
      </c>
      <c r="F12" s="3" t="s">
        <v>44</v>
      </c>
      <c r="G12" s="3" t="s">
        <v>17</v>
      </c>
      <c r="H12" s="4" t="s">
        <v>21</v>
      </c>
      <c r="I12" s="4" t="s">
        <v>31</v>
      </c>
      <c r="J12" s="5">
        <f>IFERROR(VLOOKUP(K12,Docentes_Lista!$A$2:$C$212,2,FALSE),"")</f>
        <v>0</v>
      </c>
      <c r="K12" s="4"/>
      <c r="L12" s="2">
        <f>IFERROR(VLOOKUP(K12,Docentes_Lista!$A$2:$C$212,3,FALSE),"")</f>
        <v>0</v>
      </c>
    </row>
    <row r="13" spans="1:12" ht="30" customHeight="1">
      <c r="A13" s="2">
        <v>12</v>
      </c>
      <c r="B13" s="3" t="s">
        <v>12</v>
      </c>
      <c r="C13" s="3" t="s">
        <v>41</v>
      </c>
      <c r="D13" s="4" t="s">
        <v>42</v>
      </c>
      <c r="E13" s="3" t="s">
        <v>45</v>
      </c>
      <c r="F13" s="3" t="s">
        <v>46</v>
      </c>
      <c r="G13" s="3" t="s">
        <v>47</v>
      </c>
      <c r="H13" s="4" t="s">
        <v>48</v>
      </c>
      <c r="I13" s="4" t="s">
        <v>49</v>
      </c>
      <c r="J13" s="5">
        <f>IFERROR(VLOOKUP(K13,Docentes_Lista!$A$2:$C$212,2,FALSE),"")</f>
        <v>0</v>
      </c>
      <c r="K13" s="4"/>
      <c r="L13" s="2">
        <f>IFERROR(VLOOKUP(K13,Docentes_Lista!$A$2:$C$212,3,FALSE),"")</f>
        <v>0</v>
      </c>
    </row>
    <row r="14" spans="1:12" ht="30" customHeight="1">
      <c r="A14" s="2">
        <v>13</v>
      </c>
      <c r="B14" s="3" t="s">
        <v>12</v>
      </c>
      <c r="C14" s="3" t="s">
        <v>50</v>
      </c>
      <c r="D14" s="4" t="s">
        <v>51</v>
      </c>
      <c r="E14" s="3" t="s">
        <v>15</v>
      </c>
      <c r="F14" s="3" t="s">
        <v>23</v>
      </c>
      <c r="G14" s="3"/>
      <c r="H14" s="4" t="s">
        <v>24</v>
      </c>
      <c r="I14" s="4" t="s">
        <v>25</v>
      </c>
      <c r="J14" s="5">
        <f>IFERROR(VLOOKUP(K14,Docentes_Lista!$A$2:$C$212,2,FALSE),"")</f>
        <v>0</v>
      </c>
      <c r="K14" s="4"/>
      <c r="L14" s="2">
        <f>IFERROR(VLOOKUP(K14,Docentes_Lista!$A$2:$C$212,3,FALSE),"")</f>
        <v>0</v>
      </c>
    </row>
    <row r="15" spans="1:12" ht="30" customHeight="1">
      <c r="A15" s="2">
        <v>14</v>
      </c>
      <c r="B15" s="3" t="s">
        <v>12</v>
      </c>
      <c r="C15" s="3" t="s">
        <v>50</v>
      </c>
      <c r="D15" s="4" t="s">
        <v>51</v>
      </c>
      <c r="E15" s="3" t="s">
        <v>32</v>
      </c>
      <c r="F15" s="3" t="s">
        <v>23</v>
      </c>
      <c r="G15" s="3"/>
      <c r="H15" s="4" t="s">
        <v>24</v>
      </c>
      <c r="I15" s="4" t="s">
        <v>25</v>
      </c>
      <c r="J15" s="5">
        <f>IFERROR(VLOOKUP(K15,Docentes_Lista!$A$2:$C$212,2,FALSE),"")</f>
        <v>0</v>
      </c>
      <c r="K15" s="4"/>
      <c r="L15" s="2">
        <f>IFERROR(VLOOKUP(K15,Docentes_Lista!$A$2:$C$212,3,FALSE),"")</f>
        <v>0</v>
      </c>
    </row>
    <row r="16" spans="1:12" ht="30" customHeight="1">
      <c r="A16" s="2">
        <v>15</v>
      </c>
      <c r="B16" s="3" t="s">
        <v>12</v>
      </c>
      <c r="C16" s="3" t="s">
        <v>52</v>
      </c>
      <c r="D16" s="4" t="s">
        <v>53</v>
      </c>
      <c r="E16" s="3" t="s">
        <v>35</v>
      </c>
      <c r="F16" s="3" t="s">
        <v>33</v>
      </c>
      <c r="G16" s="3" t="s">
        <v>17</v>
      </c>
      <c r="H16" s="4" t="s">
        <v>18</v>
      </c>
      <c r="I16" s="4" t="s">
        <v>19</v>
      </c>
      <c r="J16" s="5">
        <f>IFERROR(VLOOKUP(K16,Docentes_Lista!$A$2:$C$212,2,FALSE),"")</f>
        <v>0</v>
      </c>
      <c r="K16" s="4"/>
      <c r="L16" s="2">
        <f>IFERROR(VLOOKUP(K16,Docentes_Lista!$A$2:$C$212,3,FALSE),"")</f>
        <v>0</v>
      </c>
    </row>
    <row r="17" spans="1:12" ht="30" customHeight="1">
      <c r="A17" s="2">
        <v>16</v>
      </c>
      <c r="B17" s="3" t="s">
        <v>12</v>
      </c>
      <c r="C17" s="3" t="s">
        <v>52</v>
      </c>
      <c r="D17" s="4" t="s">
        <v>53</v>
      </c>
      <c r="E17" s="3" t="s">
        <v>45</v>
      </c>
      <c r="F17" s="3" t="s">
        <v>16</v>
      </c>
      <c r="G17" s="3" t="s">
        <v>17</v>
      </c>
      <c r="H17" s="4" t="s">
        <v>18</v>
      </c>
      <c r="I17" s="4" t="s">
        <v>19</v>
      </c>
      <c r="J17" s="5">
        <f>IFERROR(VLOOKUP(K17,Docentes_Lista!$A$2:$C$212,2,FALSE),"")</f>
        <v>0</v>
      </c>
      <c r="K17" s="4"/>
      <c r="L17" s="2">
        <f>IFERROR(VLOOKUP(K17,Docentes_Lista!$A$2:$C$212,3,FALSE),"")</f>
        <v>0</v>
      </c>
    </row>
    <row r="18" spans="1:12" ht="30" customHeight="1">
      <c r="A18" s="2">
        <v>17</v>
      </c>
      <c r="B18" s="3" t="s">
        <v>12</v>
      </c>
      <c r="C18" s="3" t="s">
        <v>52</v>
      </c>
      <c r="D18" s="4" t="s">
        <v>53</v>
      </c>
      <c r="E18" s="3" t="s">
        <v>32</v>
      </c>
      <c r="F18" s="3" t="s">
        <v>29</v>
      </c>
      <c r="G18" s="3" t="s">
        <v>17</v>
      </c>
      <c r="H18" s="4" t="s">
        <v>21</v>
      </c>
      <c r="I18" s="4" t="s">
        <v>19</v>
      </c>
      <c r="J18" s="5">
        <f>IFERROR(VLOOKUP(K18,Docentes_Lista!$A$2:$C$212,2,FALSE),"")</f>
        <v>0</v>
      </c>
      <c r="K18" s="4"/>
      <c r="L18" s="2">
        <f>IFERROR(VLOOKUP(K18,Docentes_Lista!$A$2:$C$212,3,FALSE),"")</f>
        <v>0</v>
      </c>
    </row>
    <row r="19" spans="1:12" ht="30" customHeight="1">
      <c r="A19" s="2">
        <v>18</v>
      </c>
      <c r="B19" s="3" t="s">
        <v>12</v>
      </c>
      <c r="C19" s="3" t="s">
        <v>52</v>
      </c>
      <c r="D19" s="4" t="s">
        <v>53</v>
      </c>
      <c r="E19" s="3" t="s">
        <v>15</v>
      </c>
      <c r="F19" s="3" t="s">
        <v>20</v>
      </c>
      <c r="G19" s="3" t="s">
        <v>17</v>
      </c>
      <c r="H19" s="4" t="s">
        <v>54</v>
      </c>
      <c r="I19" s="4" t="s">
        <v>19</v>
      </c>
      <c r="J19" s="5">
        <f>IFERROR(VLOOKUP(K19,Docentes_Lista!$A$2:$C$212,2,FALSE),"")</f>
        <v>0</v>
      </c>
      <c r="K19" s="4"/>
      <c r="L19" s="2">
        <f>IFERROR(VLOOKUP(K19,Docentes_Lista!$A$2:$C$212,3,FALSE),"")</f>
        <v>0</v>
      </c>
    </row>
    <row r="20" spans="1:12" ht="30" customHeight="1">
      <c r="A20" s="2">
        <v>19</v>
      </c>
      <c r="B20" s="3" t="s">
        <v>12</v>
      </c>
      <c r="C20" s="3" t="s">
        <v>55</v>
      </c>
      <c r="D20" s="4" t="s">
        <v>53</v>
      </c>
      <c r="E20" s="3" t="s">
        <v>15</v>
      </c>
      <c r="F20" s="3" t="s">
        <v>23</v>
      </c>
      <c r="G20" s="3"/>
      <c r="H20" s="4" t="s">
        <v>24</v>
      </c>
      <c r="I20" s="4" t="s">
        <v>25</v>
      </c>
      <c r="J20" s="5">
        <f>IFERROR(VLOOKUP(K20,Docentes_Lista!$A$2:$C$212,2,FALSE),"")</f>
        <v>0</v>
      </c>
      <c r="K20" s="4"/>
      <c r="L20" s="2">
        <f>IFERROR(VLOOKUP(K20,Docentes_Lista!$A$2:$C$212,3,FALSE),"")</f>
        <v>0</v>
      </c>
    </row>
    <row r="21" spans="1:12" ht="30" customHeight="1">
      <c r="A21" s="2">
        <v>20</v>
      </c>
      <c r="B21" s="3" t="s">
        <v>56</v>
      </c>
      <c r="C21" s="3" t="s">
        <v>57</v>
      </c>
      <c r="D21" s="4" t="s">
        <v>58</v>
      </c>
      <c r="E21" s="3" t="s">
        <v>15</v>
      </c>
      <c r="F21" s="3" t="s">
        <v>23</v>
      </c>
      <c r="G21" s="3"/>
      <c r="H21" s="4" t="s">
        <v>24</v>
      </c>
      <c r="I21" s="4" t="s">
        <v>25</v>
      </c>
      <c r="J21" s="5">
        <f>IFERROR(VLOOKUP(K21,Docentes_Lista!$A$2:$C$212,2,FALSE),"")</f>
        <v>0</v>
      </c>
      <c r="K21" s="4"/>
      <c r="L21" s="2">
        <f>IFERROR(VLOOKUP(K21,Docentes_Lista!$A$2:$C$212,3,FALSE),"")</f>
        <v>0</v>
      </c>
    </row>
    <row r="22" spans="1:12" ht="30" customHeight="1">
      <c r="A22" s="2">
        <v>21</v>
      </c>
      <c r="B22" s="3" t="s">
        <v>12</v>
      </c>
      <c r="C22" s="3" t="s">
        <v>59</v>
      </c>
      <c r="D22" s="4" t="s">
        <v>60</v>
      </c>
      <c r="E22" s="3" t="s">
        <v>15</v>
      </c>
      <c r="F22" s="3" t="s">
        <v>23</v>
      </c>
      <c r="G22" s="3"/>
      <c r="H22" s="4" t="s">
        <v>24</v>
      </c>
      <c r="I22" s="4" t="s">
        <v>25</v>
      </c>
      <c r="J22" s="5">
        <f>IFERROR(VLOOKUP(K22,Docentes_Lista!$A$2:$C$212,2,FALSE),"")</f>
        <v>0</v>
      </c>
      <c r="K22" s="4"/>
      <c r="L22" s="2">
        <f>IFERROR(VLOOKUP(K22,Docentes_Lista!$A$2:$C$212,3,FALSE),"")</f>
        <v>0</v>
      </c>
    </row>
    <row r="23" spans="1:12" ht="30" customHeight="1">
      <c r="A23" s="2">
        <v>22</v>
      </c>
      <c r="B23" s="3" t="s">
        <v>12</v>
      </c>
      <c r="C23" s="3" t="s">
        <v>59</v>
      </c>
      <c r="D23" s="4" t="s">
        <v>60</v>
      </c>
      <c r="E23" s="3" t="s">
        <v>32</v>
      </c>
      <c r="F23" s="3" t="s">
        <v>23</v>
      </c>
      <c r="G23" s="3"/>
      <c r="H23" s="4" t="s">
        <v>24</v>
      </c>
      <c r="I23" s="4" t="s">
        <v>25</v>
      </c>
      <c r="J23" s="5">
        <f>IFERROR(VLOOKUP(K23,Docentes_Lista!$A$2:$C$212,2,FALSE),"")</f>
        <v>0</v>
      </c>
      <c r="K23" s="4"/>
      <c r="L23" s="2">
        <f>IFERROR(VLOOKUP(K23,Docentes_Lista!$A$2:$C$212,3,FALSE),"")</f>
        <v>0</v>
      </c>
    </row>
    <row r="24" spans="1:12" ht="30" customHeight="1">
      <c r="A24" s="2">
        <v>23</v>
      </c>
      <c r="B24" s="3" t="s">
        <v>56</v>
      </c>
      <c r="C24" s="3" t="s">
        <v>61</v>
      </c>
      <c r="D24" s="4" t="s">
        <v>62</v>
      </c>
      <c r="E24" s="3" t="s">
        <v>15</v>
      </c>
      <c r="F24" s="3" t="s">
        <v>23</v>
      </c>
      <c r="G24" s="3"/>
      <c r="H24" s="4" t="s">
        <v>24</v>
      </c>
      <c r="I24" s="4" t="s">
        <v>25</v>
      </c>
      <c r="J24" s="5">
        <f>IFERROR(VLOOKUP(K24,Docentes_Lista!$A$2:$C$212,2,FALSE),"")</f>
        <v>0</v>
      </c>
      <c r="K24" s="4"/>
      <c r="L24" s="2">
        <f>IFERROR(VLOOKUP(K24,Docentes_Lista!$A$2:$C$212,3,FALSE),"")</f>
        <v>0</v>
      </c>
    </row>
    <row r="25" spans="1:12" ht="30" customHeight="1">
      <c r="A25" s="2">
        <v>24</v>
      </c>
      <c r="B25" s="3" t="s">
        <v>12</v>
      </c>
      <c r="C25" s="3" t="s">
        <v>63</v>
      </c>
      <c r="D25" s="4" t="s">
        <v>64</v>
      </c>
      <c r="E25" s="3" t="s">
        <v>15</v>
      </c>
      <c r="F25" s="3" t="s">
        <v>23</v>
      </c>
      <c r="G25" s="3"/>
      <c r="H25" s="4" t="s">
        <v>24</v>
      </c>
      <c r="I25" s="4" t="s">
        <v>25</v>
      </c>
      <c r="J25" s="5">
        <f>IFERROR(VLOOKUP(K25,Docentes_Lista!$A$2:$C$212,2,FALSE),"")</f>
        <v>0</v>
      </c>
      <c r="K25" s="4"/>
      <c r="L25" s="2">
        <f>IFERROR(VLOOKUP(K25,Docentes_Lista!$A$2:$C$212,3,FALSE),"")</f>
        <v>0</v>
      </c>
    </row>
    <row r="26" spans="1:12" ht="30" customHeight="1">
      <c r="A26" s="2">
        <v>25</v>
      </c>
      <c r="B26" s="3" t="s">
        <v>12</v>
      </c>
      <c r="C26" s="3" t="s">
        <v>65</v>
      </c>
      <c r="D26" s="4" t="s">
        <v>66</v>
      </c>
      <c r="E26" s="3" t="s">
        <v>15</v>
      </c>
      <c r="F26" s="3" t="s">
        <v>23</v>
      </c>
      <c r="G26" s="3"/>
      <c r="H26" s="4" t="s">
        <v>24</v>
      </c>
      <c r="I26" s="4" t="s">
        <v>25</v>
      </c>
      <c r="J26" s="5">
        <f>IFERROR(VLOOKUP(K26,Docentes_Lista!$A$2:$C$212,2,FALSE),"")</f>
        <v>0</v>
      </c>
      <c r="K26" s="4"/>
      <c r="L26" s="2">
        <f>IFERROR(VLOOKUP(K26,Docentes_Lista!$A$2:$C$212,3,FALSE),"")</f>
        <v>0</v>
      </c>
    </row>
    <row r="27" spans="1:12" ht="30" customHeight="1">
      <c r="A27" s="2">
        <v>26</v>
      </c>
      <c r="B27" s="3" t="s">
        <v>12</v>
      </c>
      <c r="C27" s="3" t="s">
        <v>67</v>
      </c>
      <c r="D27" s="4" t="s">
        <v>68</v>
      </c>
      <c r="E27" s="3" t="s">
        <v>15</v>
      </c>
      <c r="F27" s="3" t="s">
        <v>23</v>
      </c>
      <c r="G27" s="3"/>
      <c r="H27" s="4" t="s">
        <v>24</v>
      </c>
      <c r="I27" s="4" t="s">
        <v>25</v>
      </c>
      <c r="J27" s="5">
        <f>IFERROR(VLOOKUP(K27,Docentes_Lista!$A$2:$C$212,2,FALSE),"")</f>
        <v>0</v>
      </c>
      <c r="K27" s="4"/>
      <c r="L27" s="2">
        <f>IFERROR(VLOOKUP(K27,Docentes_Lista!$A$2:$C$212,3,FALSE),"")</f>
        <v>0</v>
      </c>
    </row>
    <row r="28" spans="1:12" ht="30" customHeight="1">
      <c r="A28" s="2">
        <v>27</v>
      </c>
      <c r="B28" s="3" t="s">
        <v>12</v>
      </c>
      <c r="C28" s="3" t="s">
        <v>69</v>
      </c>
      <c r="D28" s="4" t="s">
        <v>70</v>
      </c>
      <c r="E28" s="3" t="s">
        <v>15</v>
      </c>
      <c r="F28" s="3" t="s">
        <v>20</v>
      </c>
      <c r="G28" s="3" t="s">
        <v>17</v>
      </c>
      <c r="H28" s="4" t="s">
        <v>30</v>
      </c>
      <c r="I28" s="4" t="s">
        <v>31</v>
      </c>
      <c r="J28" s="5">
        <f>IFERROR(VLOOKUP(K28,Docentes_Lista!$A$2:$C$212,2,FALSE),"")</f>
        <v>0</v>
      </c>
      <c r="K28" s="4"/>
      <c r="L28" s="2">
        <f>IFERROR(VLOOKUP(K28,Docentes_Lista!$A$2:$C$212,3,FALSE),"")</f>
        <v>0</v>
      </c>
    </row>
    <row r="29" spans="1:12" ht="30" customHeight="1">
      <c r="A29" s="2">
        <v>28</v>
      </c>
      <c r="B29" s="3" t="s">
        <v>12</v>
      </c>
      <c r="C29" s="3" t="s">
        <v>71</v>
      </c>
      <c r="D29" s="4" t="s">
        <v>70</v>
      </c>
      <c r="E29" s="3" t="s">
        <v>15</v>
      </c>
      <c r="F29" s="3" t="s">
        <v>23</v>
      </c>
      <c r="G29" s="3"/>
      <c r="H29" s="4" t="s">
        <v>24</v>
      </c>
      <c r="I29" s="4" t="s">
        <v>25</v>
      </c>
      <c r="J29" s="5">
        <f>IFERROR(VLOOKUP(K29,Docentes_Lista!$A$2:$C$212,2,FALSE),"")</f>
        <v>0</v>
      </c>
      <c r="K29" s="4"/>
      <c r="L29" s="2">
        <f>IFERROR(VLOOKUP(K29,Docentes_Lista!$A$2:$C$212,3,FALSE),"")</f>
        <v>0</v>
      </c>
    </row>
    <row r="30" spans="1:12" ht="30" customHeight="1">
      <c r="A30" s="2">
        <v>29</v>
      </c>
      <c r="B30" s="3" t="s">
        <v>12</v>
      </c>
      <c r="C30" s="3" t="s">
        <v>72</v>
      </c>
      <c r="D30" s="4" t="s">
        <v>73</v>
      </c>
      <c r="E30" s="3" t="s">
        <v>15</v>
      </c>
      <c r="F30" s="3" t="s">
        <v>23</v>
      </c>
      <c r="G30" s="3"/>
      <c r="H30" s="4" t="s">
        <v>24</v>
      </c>
      <c r="I30" s="4" t="s">
        <v>25</v>
      </c>
      <c r="J30" s="5">
        <f>IFERROR(VLOOKUP(K30,Docentes_Lista!$A$2:$C$212,2,FALSE),"")</f>
        <v>0</v>
      </c>
      <c r="K30" s="4"/>
      <c r="L30" s="2">
        <f>IFERROR(VLOOKUP(K30,Docentes_Lista!$A$2:$C$212,3,FALSE),"")</f>
        <v>0</v>
      </c>
    </row>
    <row r="31" spans="1:12" ht="30" customHeight="1">
      <c r="A31" s="2">
        <v>30</v>
      </c>
      <c r="B31" s="3" t="s">
        <v>36</v>
      </c>
      <c r="C31" s="3" t="s">
        <v>74</v>
      </c>
      <c r="D31" s="4" t="s">
        <v>75</v>
      </c>
      <c r="E31" s="3" t="s">
        <v>15</v>
      </c>
      <c r="F31" s="3" t="s">
        <v>23</v>
      </c>
      <c r="G31" s="3"/>
      <c r="H31" s="4" t="s">
        <v>24</v>
      </c>
      <c r="I31" s="4" t="s">
        <v>25</v>
      </c>
      <c r="J31" s="5">
        <f>IFERROR(VLOOKUP(K31,Docentes_Lista!$A$2:$C$212,2,FALSE),"")</f>
        <v>0</v>
      </c>
      <c r="K31" s="4"/>
      <c r="L31" s="2">
        <f>IFERROR(VLOOKUP(K31,Docentes_Lista!$A$2:$C$212,3,FALSE),"")</f>
        <v>0</v>
      </c>
    </row>
    <row r="32" spans="1:12" ht="30" customHeight="1">
      <c r="A32" s="2">
        <v>31</v>
      </c>
      <c r="B32" s="3" t="s">
        <v>36</v>
      </c>
      <c r="C32" s="3" t="s">
        <v>76</v>
      </c>
      <c r="D32" s="4" t="s">
        <v>77</v>
      </c>
      <c r="E32" s="3" t="s">
        <v>15</v>
      </c>
      <c r="F32" s="3" t="s">
        <v>23</v>
      </c>
      <c r="G32" s="3"/>
      <c r="H32" s="4" t="s">
        <v>24</v>
      </c>
      <c r="I32" s="4" t="s">
        <v>25</v>
      </c>
      <c r="J32" s="5">
        <f>IFERROR(VLOOKUP(K32,Docentes_Lista!$A$2:$C$212,2,FALSE),"")</f>
        <v>0</v>
      </c>
      <c r="K32" s="4"/>
      <c r="L32" s="2">
        <f>IFERROR(VLOOKUP(K32,Docentes_Lista!$A$2:$C$212,3,FALSE),"")</f>
        <v>0</v>
      </c>
    </row>
    <row r="33" spans="1:12" ht="30" customHeight="1">
      <c r="A33" s="2">
        <v>32</v>
      </c>
      <c r="B33" s="3" t="s">
        <v>36</v>
      </c>
      <c r="C33" s="3" t="s">
        <v>78</v>
      </c>
      <c r="D33" s="4" t="s">
        <v>79</v>
      </c>
      <c r="E33" s="3" t="s">
        <v>15</v>
      </c>
      <c r="F33" s="3" t="s">
        <v>20</v>
      </c>
      <c r="G33" s="3" t="s">
        <v>17</v>
      </c>
      <c r="H33" s="4" t="s">
        <v>30</v>
      </c>
      <c r="I33" s="4" t="s">
        <v>31</v>
      </c>
      <c r="J33" s="5">
        <f>IFERROR(VLOOKUP(K33,Docentes_Lista!$A$2:$C$212,2,FALSE),"")</f>
        <v>0</v>
      </c>
      <c r="K33" s="4"/>
      <c r="L33" s="2">
        <f>IFERROR(VLOOKUP(K33,Docentes_Lista!$A$2:$C$212,3,FALSE),"")</f>
        <v>0</v>
      </c>
    </row>
    <row r="34" spans="1:12" ht="30" customHeight="1">
      <c r="A34" s="2">
        <v>33</v>
      </c>
      <c r="B34" s="3" t="s">
        <v>36</v>
      </c>
      <c r="C34" s="3" t="s">
        <v>80</v>
      </c>
      <c r="D34" s="4" t="s">
        <v>81</v>
      </c>
      <c r="E34" s="3" t="s">
        <v>15</v>
      </c>
      <c r="F34" s="3" t="s">
        <v>23</v>
      </c>
      <c r="G34" s="3"/>
      <c r="H34" s="4" t="s">
        <v>24</v>
      </c>
      <c r="I34" s="4" t="s">
        <v>25</v>
      </c>
      <c r="J34" s="5">
        <f>IFERROR(VLOOKUP(K34,Docentes_Lista!$A$2:$C$212,2,FALSE),"")</f>
        <v>0</v>
      </c>
      <c r="K34" s="4"/>
      <c r="L34" s="2">
        <f>IFERROR(VLOOKUP(K34,Docentes_Lista!$A$2:$C$212,3,FALSE),"")</f>
        <v>0</v>
      </c>
    </row>
    <row r="35" spans="1:12" ht="30" customHeight="1">
      <c r="A35" s="2">
        <v>34</v>
      </c>
      <c r="B35" s="3" t="s">
        <v>36</v>
      </c>
      <c r="C35" s="3" t="s">
        <v>82</v>
      </c>
      <c r="D35" s="4" t="s">
        <v>83</v>
      </c>
      <c r="E35" s="3" t="s">
        <v>15</v>
      </c>
      <c r="F35" s="3" t="s">
        <v>23</v>
      </c>
      <c r="G35" s="3"/>
      <c r="H35" s="4" t="s">
        <v>24</v>
      </c>
      <c r="I35" s="4" t="s">
        <v>25</v>
      </c>
      <c r="J35" s="5">
        <f>IFERROR(VLOOKUP(K35,Docentes_Lista!$A$2:$C$212,2,FALSE),"")</f>
        <v>0</v>
      </c>
      <c r="K35" s="4"/>
      <c r="L35" s="2">
        <f>IFERROR(VLOOKUP(K35,Docentes_Lista!$A$2:$C$212,3,FALSE),"")</f>
        <v>0</v>
      </c>
    </row>
    <row r="36" spans="1:12" ht="30" customHeight="1">
      <c r="A36" s="2">
        <v>35</v>
      </c>
      <c r="B36" s="3" t="s">
        <v>56</v>
      </c>
      <c r="C36" s="3" t="s">
        <v>84</v>
      </c>
      <c r="D36" s="4" t="s">
        <v>85</v>
      </c>
      <c r="E36" s="3" t="s">
        <v>15</v>
      </c>
      <c r="F36" s="3" t="s">
        <v>20</v>
      </c>
      <c r="G36" s="3" t="s">
        <v>17</v>
      </c>
      <c r="H36" s="4" t="s">
        <v>30</v>
      </c>
      <c r="I36" s="4" t="s">
        <v>31</v>
      </c>
      <c r="J36" s="5">
        <f>IFERROR(VLOOKUP(K36,Docentes_Lista!$A$2:$C$212,2,FALSE),"")</f>
        <v>0</v>
      </c>
      <c r="K36" s="4"/>
      <c r="L36" s="2">
        <f>IFERROR(VLOOKUP(K36,Docentes_Lista!$A$2:$C$212,3,FALSE),"")</f>
        <v>0</v>
      </c>
    </row>
    <row r="37" spans="1:12" ht="30" customHeight="1">
      <c r="A37" s="2">
        <v>36</v>
      </c>
      <c r="B37" s="3" t="s">
        <v>56</v>
      </c>
      <c r="C37" s="3" t="s">
        <v>84</v>
      </c>
      <c r="D37" s="4" t="s">
        <v>85</v>
      </c>
      <c r="E37" s="3" t="s">
        <v>32</v>
      </c>
      <c r="F37" s="3" t="s">
        <v>86</v>
      </c>
      <c r="G37" s="3" t="s">
        <v>47</v>
      </c>
      <c r="H37" s="4" t="s">
        <v>48</v>
      </c>
      <c r="I37" s="4" t="s">
        <v>31</v>
      </c>
      <c r="J37" s="5">
        <f>IFERROR(VLOOKUP(K37,Docentes_Lista!$A$2:$C$212,2,FALSE),"")</f>
        <v>0</v>
      </c>
      <c r="K37" s="4"/>
      <c r="L37" s="2">
        <f>IFERROR(VLOOKUP(K37,Docentes_Lista!$A$2:$C$212,3,FALSE),"")</f>
        <v>0</v>
      </c>
    </row>
    <row r="38" spans="1:12" ht="30" customHeight="1">
      <c r="A38" s="2">
        <v>37</v>
      </c>
      <c r="B38" s="3" t="s">
        <v>56</v>
      </c>
      <c r="C38" s="3" t="s">
        <v>87</v>
      </c>
      <c r="D38" s="4" t="s">
        <v>88</v>
      </c>
      <c r="E38" s="3" t="s">
        <v>15</v>
      </c>
      <c r="F38" s="3" t="s">
        <v>23</v>
      </c>
      <c r="G38" s="3"/>
      <c r="H38" s="4" t="s">
        <v>24</v>
      </c>
      <c r="I38" s="4" t="s">
        <v>25</v>
      </c>
      <c r="J38" s="5">
        <f>IFERROR(VLOOKUP(K38,Docentes_Lista!$A$2:$C$212,2,FALSE),"")</f>
        <v>0</v>
      </c>
      <c r="K38" s="4"/>
      <c r="L38" s="2">
        <f>IFERROR(VLOOKUP(K38,Docentes_Lista!$A$2:$C$212,3,FALSE),"")</f>
        <v>0</v>
      </c>
    </row>
    <row r="39" spans="1:12" ht="30" customHeight="1">
      <c r="A39" s="2">
        <v>38</v>
      </c>
      <c r="B39" s="3" t="s">
        <v>56</v>
      </c>
      <c r="C39" s="3" t="s">
        <v>89</v>
      </c>
      <c r="D39" s="4" t="s">
        <v>90</v>
      </c>
      <c r="E39" s="3" t="s">
        <v>15</v>
      </c>
      <c r="F39" s="3" t="s">
        <v>33</v>
      </c>
      <c r="G39" s="3" t="s">
        <v>17</v>
      </c>
      <c r="H39" s="4" t="s">
        <v>18</v>
      </c>
      <c r="I39" s="4" t="s">
        <v>19</v>
      </c>
      <c r="J39" s="5">
        <f>IFERROR(VLOOKUP(K39,Docentes_Lista!$A$2:$C$212,2,FALSE),"")</f>
        <v>0</v>
      </c>
      <c r="K39" s="4"/>
      <c r="L39" s="2">
        <f>IFERROR(VLOOKUP(K39,Docentes_Lista!$A$2:$C$212,3,FALSE),"")</f>
        <v>0</v>
      </c>
    </row>
    <row r="40" spans="1:12" ht="30" customHeight="1">
      <c r="A40" s="2">
        <v>39</v>
      </c>
      <c r="B40" s="3" t="s">
        <v>36</v>
      </c>
      <c r="C40" s="3" t="s">
        <v>91</v>
      </c>
      <c r="D40" s="4" t="s">
        <v>92</v>
      </c>
      <c r="E40" s="3" t="s">
        <v>15</v>
      </c>
      <c r="F40" s="3" t="s">
        <v>20</v>
      </c>
      <c r="G40" s="3" t="s">
        <v>17</v>
      </c>
      <c r="H40" s="4" t="s">
        <v>30</v>
      </c>
      <c r="I40" s="4" t="s">
        <v>19</v>
      </c>
      <c r="J40" s="5">
        <f>IFERROR(VLOOKUP(K40,Docentes_Lista!$A$2:$C$212,2,FALSE),"")</f>
        <v>0</v>
      </c>
      <c r="K40" s="4"/>
      <c r="L40" s="2">
        <f>IFERROR(VLOOKUP(K40,Docentes_Lista!$A$2:$C$212,3,FALSE),"")</f>
        <v>0</v>
      </c>
    </row>
    <row r="41" spans="1:12" ht="30" customHeight="1">
      <c r="A41" s="2">
        <v>40</v>
      </c>
      <c r="B41" s="3" t="s">
        <v>36</v>
      </c>
      <c r="C41" s="3" t="s">
        <v>91</v>
      </c>
      <c r="D41" s="4" t="s">
        <v>92</v>
      </c>
      <c r="E41" s="3" t="s">
        <v>45</v>
      </c>
      <c r="F41" s="3" t="s">
        <v>43</v>
      </c>
      <c r="G41" s="3" t="s">
        <v>17</v>
      </c>
      <c r="H41" s="4" t="s">
        <v>30</v>
      </c>
      <c r="I41" s="4" t="s">
        <v>19</v>
      </c>
      <c r="J41" s="5">
        <f>IFERROR(VLOOKUP(K41,Docentes_Lista!$A$2:$C$212,2,FALSE),"")</f>
        <v>0</v>
      </c>
      <c r="K41" s="4"/>
      <c r="L41" s="2">
        <f>IFERROR(VLOOKUP(K41,Docentes_Lista!$A$2:$C$212,3,FALSE),"")</f>
        <v>0</v>
      </c>
    </row>
    <row r="42" spans="1:12" ht="30" customHeight="1">
      <c r="A42" s="2">
        <v>41</v>
      </c>
      <c r="B42" s="3" t="s">
        <v>36</v>
      </c>
      <c r="C42" s="3" t="s">
        <v>91</v>
      </c>
      <c r="D42" s="4" t="s">
        <v>92</v>
      </c>
      <c r="E42" s="3" t="s">
        <v>93</v>
      </c>
      <c r="F42" s="3" t="s">
        <v>94</v>
      </c>
      <c r="G42" s="3"/>
      <c r="H42" s="4" t="s">
        <v>30</v>
      </c>
      <c r="I42" s="4" t="s">
        <v>19</v>
      </c>
      <c r="J42" s="5">
        <f>IFERROR(VLOOKUP(K42,Docentes_Lista!$A$2:$C$212,2,FALSE),"")</f>
        <v>0</v>
      </c>
      <c r="K42" s="4"/>
      <c r="L42" s="2">
        <f>IFERROR(VLOOKUP(K42,Docentes_Lista!$A$2:$C$212,3,FALSE),"")</f>
        <v>0</v>
      </c>
    </row>
    <row r="43" spans="1:12" ht="30" customHeight="1">
      <c r="A43" s="2">
        <v>42</v>
      </c>
      <c r="B43" s="3" t="s">
        <v>36</v>
      </c>
      <c r="C43" s="3" t="s">
        <v>91</v>
      </c>
      <c r="D43" s="4" t="s">
        <v>92</v>
      </c>
      <c r="E43" s="3" t="s">
        <v>95</v>
      </c>
      <c r="F43" s="3" t="s">
        <v>44</v>
      </c>
      <c r="G43" s="3" t="s">
        <v>17</v>
      </c>
      <c r="H43" s="4" t="s">
        <v>18</v>
      </c>
      <c r="I43" s="4" t="s">
        <v>19</v>
      </c>
      <c r="J43" s="5">
        <f>IFERROR(VLOOKUP(K43,Docentes_Lista!$A$2:$C$212,2,FALSE),"")</f>
        <v>0</v>
      </c>
      <c r="K43" s="4"/>
      <c r="L43" s="2">
        <f>IFERROR(VLOOKUP(K43,Docentes_Lista!$A$2:$C$212,3,FALSE),"")</f>
        <v>0</v>
      </c>
    </row>
    <row r="44" spans="1:12" ht="30" customHeight="1">
      <c r="A44" s="2">
        <v>43</v>
      </c>
      <c r="B44" s="3" t="s">
        <v>36</v>
      </c>
      <c r="C44" s="3" t="s">
        <v>91</v>
      </c>
      <c r="D44" s="4" t="s">
        <v>92</v>
      </c>
      <c r="E44" s="3" t="s">
        <v>96</v>
      </c>
      <c r="F44" s="3" t="s">
        <v>33</v>
      </c>
      <c r="G44" s="3" t="s">
        <v>17</v>
      </c>
      <c r="H44" s="4" t="s">
        <v>18</v>
      </c>
      <c r="I44" s="4" t="s">
        <v>19</v>
      </c>
      <c r="J44" s="5">
        <f>IFERROR(VLOOKUP(K44,Docentes_Lista!$A$2:$C$212,2,FALSE),"")</f>
        <v>0</v>
      </c>
      <c r="K44" s="4"/>
      <c r="L44" s="2">
        <f>IFERROR(VLOOKUP(K44,Docentes_Lista!$A$2:$C$212,3,FALSE),"")</f>
        <v>0</v>
      </c>
    </row>
    <row r="45" spans="1:12" ht="30" customHeight="1">
      <c r="A45" s="2">
        <v>44</v>
      </c>
      <c r="B45" s="3" t="s">
        <v>36</v>
      </c>
      <c r="C45" s="3" t="s">
        <v>91</v>
      </c>
      <c r="D45" s="4" t="s">
        <v>92</v>
      </c>
      <c r="E45" s="3" t="s">
        <v>32</v>
      </c>
      <c r="F45" s="3" t="s">
        <v>20</v>
      </c>
      <c r="G45" s="3" t="s">
        <v>17</v>
      </c>
      <c r="H45" s="4" t="s">
        <v>21</v>
      </c>
      <c r="I45" s="4" t="s">
        <v>97</v>
      </c>
      <c r="J45" s="5">
        <f>IFERROR(VLOOKUP(K45,Docentes_Lista!$A$2:$C$212,2,FALSE),"")</f>
        <v>0</v>
      </c>
      <c r="K45" s="4"/>
      <c r="L45" s="2">
        <f>IFERROR(VLOOKUP(K45,Docentes_Lista!$A$2:$C$212,3,FALSE),"")</f>
        <v>0</v>
      </c>
    </row>
    <row r="46" spans="1:12" ht="30" customHeight="1">
      <c r="A46" s="2">
        <v>45</v>
      </c>
      <c r="B46" s="3" t="s">
        <v>36</v>
      </c>
      <c r="C46" s="3" t="s">
        <v>91</v>
      </c>
      <c r="D46" s="4" t="s">
        <v>92</v>
      </c>
      <c r="E46" s="3" t="s">
        <v>98</v>
      </c>
      <c r="F46" s="3" t="s">
        <v>43</v>
      </c>
      <c r="G46" s="3" t="s">
        <v>17</v>
      </c>
      <c r="H46" s="4" t="s">
        <v>21</v>
      </c>
      <c r="I46" s="4" t="s">
        <v>31</v>
      </c>
      <c r="J46" s="5">
        <f>IFERROR(VLOOKUP(K46,Docentes_Lista!$A$2:$C$212,2,FALSE),"")</f>
        <v>0</v>
      </c>
      <c r="K46" s="4"/>
      <c r="L46" s="2">
        <f>IFERROR(VLOOKUP(K46,Docentes_Lista!$A$2:$C$212,3,FALSE),"")</f>
        <v>0</v>
      </c>
    </row>
    <row r="47" spans="1:12" ht="30" customHeight="1">
      <c r="A47" s="2">
        <v>46</v>
      </c>
      <c r="B47" s="3" t="s">
        <v>36</v>
      </c>
      <c r="C47" s="3" t="s">
        <v>91</v>
      </c>
      <c r="D47" s="4" t="s">
        <v>92</v>
      </c>
      <c r="E47" s="3" t="s">
        <v>99</v>
      </c>
      <c r="F47" s="3" t="s">
        <v>44</v>
      </c>
      <c r="G47" s="3" t="s">
        <v>17</v>
      </c>
      <c r="H47" s="4" t="s">
        <v>21</v>
      </c>
      <c r="I47" s="4" t="s">
        <v>19</v>
      </c>
      <c r="J47" s="5">
        <f>IFERROR(VLOOKUP(K47,Docentes_Lista!$A$2:$C$212,2,FALSE),"")</f>
        <v>0</v>
      </c>
      <c r="K47" s="4"/>
      <c r="L47" s="2">
        <f>IFERROR(VLOOKUP(K47,Docentes_Lista!$A$2:$C$212,3,FALSE),"")</f>
        <v>0</v>
      </c>
    </row>
    <row r="48" spans="1:12" ht="30" customHeight="1">
      <c r="A48" s="2">
        <v>47</v>
      </c>
      <c r="B48" s="3" t="s">
        <v>36</v>
      </c>
      <c r="C48" s="3" t="s">
        <v>91</v>
      </c>
      <c r="D48" s="4" t="s">
        <v>92</v>
      </c>
      <c r="E48" s="3" t="s">
        <v>35</v>
      </c>
      <c r="F48" s="3" t="s">
        <v>20</v>
      </c>
      <c r="G48" s="3" t="s">
        <v>17</v>
      </c>
      <c r="H48" s="4" t="s">
        <v>54</v>
      </c>
      <c r="I48" s="4" t="s">
        <v>19</v>
      </c>
      <c r="J48" s="5">
        <f>IFERROR(VLOOKUP(K48,Docentes_Lista!$A$2:$C$212,2,FALSE),"")</f>
        <v>0</v>
      </c>
      <c r="K48" s="4"/>
      <c r="L48" s="2">
        <f>IFERROR(VLOOKUP(K48,Docentes_Lista!$A$2:$C$212,3,FALSE),"")</f>
        <v>0</v>
      </c>
    </row>
    <row r="49" spans="1:12" ht="30" customHeight="1">
      <c r="A49" s="2">
        <v>48</v>
      </c>
      <c r="B49" s="3" t="s">
        <v>36</v>
      </c>
      <c r="C49" s="3" t="s">
        <v>91</v>
      </c>
      <c r="D49" s="4" t="s">
        <v>92</v>
      </c>
      <c r="E49" s="3" t="s">
        <v>100</v>
      </c>
      <c r="F49" s="3" t="s">
        <v>101</v>
      </c>
      <c r="G49" s="3" t="s">
        <v>47</v>
      </c>
      <c r="H49" s="4" t="s">
        <v>102</v>
      </c>
      <c r="I49" s="4" t="s">
        <v>19</v>
      </c>
      <c r="J49" s="5">
        <f>IFERROR(VLOOKUP(K49,Docentes_Lista!$A$2:$C$212,2,FALSE),"")</f>
        <v>0</v>
      </c>
      <c r="K49" s="4"/>
      <c r="L49" s="2">
        <f>IFERROR(VLOOKUP(K49,Docentes_Lista!$A$2:$C$212,3,FALSE),"")</f>
        <v>0</v>
      </c>
    </row>
    <row r="50" spans="1:12" ht="30" customHeight="1">
      <c r="A50" s="2">
        <v>49</v>
      </c>
      <c r="B50" s="3" t="s">
        <v>36</v>
      </c>
      <c r="C50" s="3" t="s">
        <v>91</v>
      </c>
      <c r="D50" s="4" t="s">
        <v>92</v>
      </c>
      <c r="E50" s="3" t="s">
        <v>103</v>
      </c>
      <c r="F50" s="3" t="s">
        <v>104</v>
      </c>
      <c r="G50" s="3" t="s">
        <v>47</v>
      </c>
      <c r="H50" s="4" t="s">
        <v>105</v>
      </c>
      <c r="I50" s="4" t="s">
        <v>19</v>
      </c>
      <c r="J50" s="5">
        <f>IFERROR(VLOOKUP(K50,Docentes_Lista!$A$2:$C$212,2,FALSE),"")</f>
        <v>0</v>
      </c>
      <c r="K50" s="4"/>
      <c r="L50" s="2">
        <f>IFERROR(VLOOKUP(K50,Docentes_Lista!$A$2:$C$212,3,FALSE),"")</f>
        <v>0</v>
      </c>
    </row>
    <row r="51" spans="1:12" ht="30" customHeight="1">
      <c r="A51" s="2">
        <v>50</v>
      </c>
      <c r="B51" s="3" t="s">
        <v>36</v>
      </c>
      <c r="C51" s="3" t="s">
        <v>91</v>
      </c>
      <c r="D51" s="4" t="s">
        <v>92</v>
      </c>
      <c r="E51" s="3" t="s">
        <v>106</v>
      </c>
      <c r="F51" s="3" t="s">
        <v>46</v>
      </c>
      <c r="G51" s="3" t="s">
        <v>47</v>
      </c>
      <c r="H51" s="4" t="s">
        <v>48</v>
      </c>
      <c r="I51" s="4" t="s">
        <v>19</v>
      </c>
      <c r="J51" s="5">
        <f>IFERROR(VLOOKUP(K51,Docentes_Lista!$A$2:$C$212,2,FALSE),"")</f>
        <v>0</v>
      </c>
      <c r="K51" s="4"/>
      <c r="L51" s="2">
        <f>IFERROR(VLOOKUP(K51,Docentes_Lista!$A$2:$C$212,3,FALSE),"")</f>
        <v>0</v>
      </c>
    </row>
    <row r="52" spans="1:12" ht="30" customHeight="1">
      <c r="A52" s="2">
        <v>51</v>
      </c>
      <c r="B52" s="3" t="s">
        <v>36</v>
      </c>
      <c r="C52" s="3" t="s">
        <v>107</v>
      </c>
      <c r="D52" s="4" t="s">
        <v>108</v>
      </c>
      <c r="E52" s="3" t="s">
        <v>15</v>
      </c>
      <c r="F52" s="3" t="s">
        <v>23</v>
      </c>
      <c r="G52" s="3"/>
      <c r="H52" s="4" t="s">
        <v>24</v>
      </c>
      <c r="I52" s="4" t="s">
        <v>25</v>
      </c>
      <c r="J52" s="5">
        <f>IFERROR(VLOOKUP(K52,Docentes_Lista!$A$2:$C$212,2,FALSE),"")</f>
        <v>0</v>
      </c>
      <c r="K52" s="4"/>
      <c r="L52" s="2">
        <f>IFERROR(VLOOKUP(K52,Docentes_Lista!$A$2:$C$212,3,FALSE),"")</f>
        <v>0</v>
      </c>
    </row>
    <row r="53" spans="1:12" ht="30" customHeight="1">
      <c r="A53" s="2">
        <v>52</v>
      </c>
      <c r="B53" s="3" t="s">
        <v>36</v>
      </c>
      <c r="C53" s="3" t="s">
        <v>107</v>
      </c>
      <c r="D53" s="4" t="s">
        <v>108</v>
      </c>
      <c r="E53" s="3" t="s">
        <v>32</v>
      </c>
      <c r="F53" s="3" t="s">
        <v>23</v>
      </c>
      <c r="G53" s="3"/>
      <c r="H53" s="4" t="s">
        <v>24</v>
      </c>
      <c r="I53" s="4" t="s">
        <v>25</v>
      </c>
      <c r="J53" s="5">
        <f>IFERROR(VLOOKUP(K53,Docentes_Lista!$A$2:$C$212,2,FALSE),"")</f>
        <v>0</v>
      </c>
      <c r="K53" s="4"/>
      <c r="L53" s="2">
        <f>IFERROR(VLOOKUP(K53,Docentes_Lista!$A$2:$C$212,3,FALSE),"")</f>
        <v>0</v>
      </c>
    </row>
    <row r="54" spans="1:12" ht="30" customHeight="1">
      <c r="A54" s="2">
        <v>53</v>
      </c>
      <c r="B54" s="3" t="s">
        <v>36</v>
      </c>
      <c r="C54" s="3" t="s">
        <v>107</v>
      </c>
      <c r="D54" s="4" t="s">
        <v>108</v>
      </c>
      <c r="E54" s="3" t="s">
        <v>35</v>
      </c>
      <c r="F54" s="3" t="s">
        <v>23</v>
      </c>
      <c r="G54" s="3"/>
      <c r="H54" s="4" t="s">
        <v>24</v>
      </c>
      <c r="I54" s="4" t="s">
        <v>25</v>
      </c>
      <c r="J54" s="5">
        <f>IFERROR(VLOOKUP(K54,Docentes_Lista!$A$2:$C$212,2,FALSE),"")</f>
        <v>0</v>
      </c>
      <c r="K54" s="4"/>
      <c r="L54" s="2">
        <f>IFERROR(VLOOKUP(K54,Docentes_Lista!$A$2:$C$212,3,FALSE),"")</f>
        <v>0</v>
      </c>
    </row>
    <row r="55" spans="1:12" ht="30" customHeight="1">
      <c r="A55" s="2">
        <v>54</v>
      </c>
      <c r="B55" s="3" t="s">
        <v>36</v>
      </c>
      <c r="C55" s="3" t="s">
        <v>107</v>
      </c>
      <c r="D55" s="4" t="s">
        <v>108</v>
      </c>
      <c r="E55" s="3" t="s">
        <v>45</v>
      </c>
      <c r="F55" s="3" t="s">
        <v>23</v>
      </c>
      <c r="G55" s="3"/>
      <c r="H55" s="4" t="s">
        <v>24</v>
      </c>
      <c r="I55" s="4" t="s">
        <v>25</v>
      </c>
      <c r="J55" s="5">
        <f>IFERROR(VLOOKUP(K55,Docentes_Lista!$A$2:$C$212,2,FALSE),"")</f>
        <v>0</v>
      </c>
      <c r="K55" s="4"/>
      <c r="L55" s="2">
        <f>IFERROR(VLOOKUP(K55,Docentes_Lista!$A$2:$C$212,3,FALSE),"")</f>
        <v>0</v>
      </c>
    </row>
    <row r="56" spans="1:12" ht="30" customHeight="1">
      <c r="A56" s="2">
        <v>55</v>
      </c>
      <c r="B56" s="3" t="s">
        <v>36</v>
      </c>
      <c r="C56" s="3" t="s">
        <v>107</v>
      </c>
      <c r="D56" s="4" t="s">
        <v>108</v>
      </c>
      <c r="E56" s="3" t="s">
        <v>98</v>
      </c>
      <c r="F56" s="3" t="s">
        <v>23</v>
      </c>
      <c r="G56" s="3"/>
      <c r="H56" s="4" t="s">
        <v>24</v>
      </c>
      <c r="I56" s="4" t="s">
        <v>25</v>
      </c>
      <c r="J56" s="5">
        <f>IFERROR(VLOOKUP(K56,Docentes_Lista!$A$2:$C$212,2,FALSE),"")</f>
        <v>0</v>
      </c>
      <c r="K56" s="4"/>
      <c r="L56" s="2">
        <f>IFERROR(VLOOKUP(K56,Docentes_Lista!$A$2:$C$212,3,FALSE),"")</f>
        <v>0</v>
      </c>
    </row>
    <row r="57" spans="1:12" ht="30" customHeight="1">
      <c r="A57" s="2">
        <v>56</v>
      </c>
      <c r="B57" s="3" t="s">
        <v>36</v>
      </c>
      <c r="C57" s="3" t="s">
        <v>109</v>
      </c>
      <c r="D57" s="4" t="s">
        <v>110</v>
      </c>
      <c r="E57" s="3" t="s">
        <v>15</v>
      </c>
      <c r="F57" s="3" t="s">
        <v>23</v>
      </c>
      <c r="G57" s="3"/>
      <c r="H57" s="4" t="s">
        <v>24</v>
      </c>
      <c r="I57" s="4" t="s">
        <v>25</v>
      </c>
      <c r="J57" s="5">
        <f>IFERROR(VLOOKUP(K57,Docentes_Lista!$A$2:$C$212,2,FALSE),"")</f>
        <v>0</v>
      </c>
      <c r="K57" s="4"/>
      <c r="L57" s="2">
        <f>IFERROR(VLOOKUP(K57,Docentes_Lista!$A$2:$C$212,3,FALSE),"")</f>
        <v>0</v>
      </c>
    </row>
    <row r="58" spans="1:12" ht="30" customHeight="1">
      <c r="A58" s="2">
        <v>57</v>
      </c>
      <c r="B58" s="3" t="s">
        <v>36</v>
      </c>
      <c r="C58" s="3" t="s">
        <v>111</v>
      </c>
      <c r="D58" s="4" t="s">
        <v>112</v>
      </c>
      <c r="E58" s="3" t="s">
        <v>15</v>
      </c>
      <c r="F58" s="3" t="s">
        <v>20</v>
      </c>
      <c r="G58" s="3" t="s">
        <v>17</v>
      </c>
      <c r="H58" s="4" t="s">
        <v>30</v>
      </c>
      <c r="I58" s="4" t="s">
        <v>31</v>
      </c>
      <c r="J58" s="5">
        <f>IFERROR(VLOOKUP(K58,Docentes_Lista!$A$2:$C$212,2,FALSE),"")</f>
        <v>0</v>
      </c>
      <c r="K58" s="4"/>
      <c r="L58" s="2">
        <f>IFERROR(VLOOKUP(K58,Docentes_Lista!$A$2:$C$212,3,FALSE),"")</f>
        <v>0</v>
      </c>
    </row>
    <row r="59" spans="1:12" ht="30" customHeight="1">
      <c r="A59" s="2">
        <v>58</v>
      </c>
      <c r="B59" s="3" t="s">
        <v>56</v>
      </c>
      <c r="C59" s="3" t="s">
        <v>113</v>
      </c>
      <c r="D59" s="4" t="s">
        <v>114</v>
      </c>
      <c r="E59" s="3" t="s">
        <v>15</v>
      </c>
      <c r="F59" s="3" t="s">
        <v>23</v>
      </c>
      <c r="G59" s="3"/>
      <c r="H59" s="4" t="s">
        <v>24</v>
      </c>
      <c r="I59" s="4" t="s">
        <v>25</v>
      </c>
      <c r="J59" s="5">
        <f>IFERROR(VLOOKUP(K59,Docentes_Lista!$A$2:$C$212,2,FALSE),"")</f>
        <v>0</v>
      </c>
      <c r="K59" s="4"/>
      <c r="L59" s="2">
        <f>IFERROR(VLOOKUP(K59,Docentes_Lista!$A$2:$C$212,3,FALSE),"")</f>
        <v>0</v>
      </c>
    </row>
    <row r="60" spans="1:12" ht="30" customHeight="1">
      <c r="A60" s="2">
        <v>59</v>
      </c>
      <c r="B60" s="3" t="s">
        <v>26</v>
      </c>
      <c r="C60" s="3" t="s">
        <v>115</v>
      </c>
      <c r="D60" s="4" t="s">
        <v>116</v>
      </c>
      <c r="E60" s="3" t="s">
        <v>15</v>
      </c>
      <c r="F60" s="3" t="s">
        <v>23</v>
      </c>
      <c r="G60" s="3"/>
      <c r="H60" s="4" t="s">
        <v>24</v>
      </c>
      <c r="I60" s="4" t="s">
        <v>25</v>
      </c>
      <c r="J60" s="5">
        <f>IFERROR(VLOOKUP(K60,Docentes_Lista!$A$2:$C$212,2,FALSE),"")</f>
        <v>0</v>
      </c>
      <c r="K60" s="4"/>
      <c r="L60" s="2">
        <f>IFERROR(VLOOKUP(K60,Docentes_Lista!$A$2:$C$212,3,FALSE),"")</f>
        <v>0</v>
      </c>
    </row>
    <row r="61" spans="1:12" ht="30" customHeight="1">
      <c r="A61" s="2">
        <v>60</v>
      </c>
      <c r="B61" s="3" t="s">
        <v>36</v>
      </c>
      <c r="C61" s="3" t="s">
        <v>117</v>
      </c>
      <c r="D61" s="4" t="s">
        <v>118</v>
      </c>
      <c r="E61" s="3" t="s">
        <v>15</v>
      </c>
      <c r="F61" s="3" t="s">
        <v>23</v>
      </c>
      <c r="G61" s="3"/>
      <c r="H61" s="4" t="s">
        <v>24</v>
      </c>
      <c r="I61" s="4" t="s">
        <v>25</v>
      </c>
      <c r="J61" s="5">
        <f>IFERROR(VLOOKUP(K61,Docentes_Lista!$A$2:$C$212,2,FALSE),"")</f>
        <v>0</v>
      </c>
      <c r="K61" s="4"/>
      <c r="L61" s="2">
        <f>IFERROR(VLOOKUP(K61,Docentes_Lista!$A$2:$C$212,3,FALSE),"")</f>
        <v>0</v>
      </c>
    </row>
    <row r="62" spans="1:12" ht="30" customHeight="1">
      <c r="A62" s="2">
        <v>61</v>
      </c>
      <c r="B62" s="3" t="s">
        <v>12</v>
      </c>
      <c r="C62" s="3" t="s">
        <v>119</v>
      </c>
      <c r="D62" s="4" t="s">
        <v>120</v>
      </c>
      <c r="E62" s="3" t="s">
        <v>15</v>
      </c>
      <c r="F62" s="3" t="s">
        <v>23</v>
      </c>
      <c r="G62" s="3"/>
      <c r="H62" s="4" t="s">
        <v>24</v>
      </c>
      <c r="I62" s="4" t="s">
        <v>25</v>
      </c>
      <c r="J62" s="5">
        <f>IFERROR(VLOOKUP(K62,Docentes_Lista!$A$2:$C$212,2,FALSE),"")</f>
        <v>0</v>
      </c>
      <c r="K62" s="4"/>
      <c r="L62" s="2">
        <f>IFERROR(VLOOKUP(K62,Docentes_Lista!$A$2:$C$212,3,FALSE),"")</f>
        <v>0</v>
      </c>
    </row>
    <row r="63" spans="1:12" ht="30" customHeight="1">
      <c r="A63" s="2">
        <v>62</v>
      </c>
      <c r="B63" s="3" t="s">
        <v>26</v>
      </c>
      <c r="C63" s="3" t="s">
        <v>121</v>
      </c>
      <c r="D63" s="4" t="s">
        <v>122</v>
      </c>
      <c r="E63" s="3" t="s">
        <v>15</v>
      </c>
      <c r="F63" s="3" t="s">
        <v>29</v>
      </c>
      <c r="G63" s="3" t="s">
        <v>17</v>
      </c>
      <c r="H63" s="4" t="s">
        <v>30</v>
      </c>
      <c r="I63" s="4" t="s">
        <v>31</v>
      </c>
      <c r="J63" s="5">
        <f>IFERROR(VLOOKUP(K63,Docentes_Lista!$A$2:$C$212,2,FALSE),"")</f>
        <v>0</v>
      </c>
      <c r="K63" s="4"/>
      <c r="L63" s="2">
        <f>IFERROR(VLOOKUP(K63,Docentes_Lista!$A$2:$C$212,3,FALSE),"")</f>
        <v>0</v>
      </c>
    </row>
    <row r="64" spans="1:12" ht="30" customHeight="1">
      <c r="A64" s="2">
        <v>63</v>
      </c>
      <c r="B64" s="3" t="s">
        <v>26</v>
      </c>
      <c r="C64" s="3" t="s">
        <v>121</v>
      </c>
      <c r="D64" s="4" t="s">
        <v>122</v>
      </c>
      <c r="E64" s="3" t="s">
        <v>32</v>
      </c>
      <c r="F64" s="3" t="s">
        <v>44</v>
      </c>
      <c r="G64" s="3" t="s">
        <v>17</v>
      </c>
      <c r="H64" s="4" t="s">
        <v>18</v>
      </c>
      <c r="I64" s="4" t="s">
        <v>31</v>
      </c>
      <c r="J64" s="5">
        <f>IFERROR(VLOOKUP(K64,Docentes_Lista!$A$2:$C$212,2,FALSE),"")</f>
        <v>0</v>
      </c>
      <c r="K64" s="4"/>
      <c r="L64" s="2">
        <f>IFERROR(VLOOKUP(K64,Docentes_Lista!$A$2:$C$212,3,FALSE),"")</f>
        <v>0</v>
      </c>
    </row>
    <row r="65" spans="1:12" ht="30" customHeight="1">
      <c r="A65" s="2">
        <v>64</v>
      </c>
      <c r="B65" s="3" t="s">
        <v>26</v>
      </c>
      <c r="C65" s="3" t="s">
        <v>121</v>
      </c>
      <c r="D65" s="4" t="s">
        <v>122</v>
      </c>
      <c r="E65" s="3" t="s">
        <v>35</v>
      </c>
      <c r="F65" s="3" t="s">
        <v>33</v>
      </c>
      <c r="G65" s="3" t="s">
        <v>17</v>
      </c>
      <c r="H65" s="4" t="s">
        <v>21</v>
      </c>
      <c r="I65" s="4" t="s">
        <v>31</v>
      </c>
      <c r="J65" s="5">
        <f>IFERROR(VLOOKUP(K65,Docentes_Lista!$A$2:$C$212,2,FALSE),"")</f>
        <v>0</v>
      </c>
      <c r="K65" s="4"/>
      <c r="L65" s="2">
        <f>IFERROR(VLOOKUP(K65,Docentes_Lista!$A$2:$C$212,3,FALSE),"")</f>
        <v>0</v>
      </c>
    </row>
    <row r="66" spans="1:12" ht="30" customHeight="1">
      <c r="A66" s="2">
        <v>65</v>
      </c>
      <c r="B66" s="3" t="s">
        <v>26</v>
      </c>
      <c r="C66" s="3" t="s">
        <v>121</v>
      </c>
      <c r="D66" s="4" t="s">
        <v>122</v>
      </c>
      <c r="E66" s="3" t="s">
        <v>45</v>
      </c>
      <c r="F66" s="3" t="s">
        <v>123</v>
      </c>
      <c r="G66" s="3" t="s">
        <v>47</v>
      </c>
      <c r="H66" s="4" t="s">
        <v>105</v>
      </c>
      <c r="I66" s="4" t="s">
        <v>31</v>
      </c>
      <c r="J66" s="5">
        <f>IFERROR(VLOOKUP(K66,Docentes_Lista!$A$2:$C$212,2,FALSE),"")</f>
        <v>0</v>
      </c>
      <c r="K66" s="4"/>
      <c r="L66" s="2">
        <f>IFERROR(VLOOKUP(K66,Docentes_Lista!$A$2:$C$212,3,FALSE),"")</f>
        <v>0</v>
      </c>
    </row>
    <row r="67" spans="1:12" ht="30" customHeight="1">
      <c r="A67" s="2">
        <v>66</v>
      </c>
      <c r="B67" s="3" t="s">
        <v>26</v>
      </c>
      <c r="C67" s="3" t="s">
        <v>124</v>
      </c>
      <c r="D67" s="4" t="s">
        <v>122</v>
      </c>
      <c r="E67" s="3" t="s">
        <v>15</v>
      </c>
      <c r="F67" s="3" t="s">
        <v>23</v>
      </c>
      <c r="G67" s="3"/>
      <c r="H67" s="4" t="s">
        <v>24</v>
      </c>
      <c r="I67" s="4" t="s">
        <v>25</v>
      </c>
      <c r="J67" s="5">
        <f>IFERROR(VLOOKUP(K67,Docentes_Lista!$A$2:$C$212,2,FALSE),"")</f>
        <v>0</v>
      </c>
      <c r="K67" s="4"/>
      <c r="L67" s="2">
        <f>IFERROR(VLOOKUP(K67,Docentes_Lista!$A$2:$C$212,3,FALSE),"")</f>
        <v>0</v>
      </c>
    </row>
    <row r="68" spans="1:12" ht="30" customHeight="1">
      <c r="A68" s="2">
        <v>67</v>
      </c>
      <c r="B68" s="3" t="s">
        <v>26</v>
      </c>
      <c r="C68" s="3" t="s">
        <v>124</v>
      </c>
      <c r="D68" s="4" t="s">
        <v>122</v>
      </c>
      <c r="E68" s="3" t="s">
        <v>32</v>
      </c>
      <c r="F68" s="3" t="s">
        <v>23</v>
      </c>
      <c r="G68" s="3"/>
      <c r="H68" s="4" t="s">
        <v>24</v>
      </c>
      <c r="I68" s="4" t="s">
        <v>25</v>
      </c>
      <c r="J68" s="5">
        <f>IFERROR(VLOOKUP(K68,Docentes_Lista!$A$2:$C$212,2,FALSE),"")</f>
        <v>0</v>
      </c>
      <c r="K68" s="4"/>
      <c r="L68" s="2">
        <f>IFERROR(VLOOKUP(K68,Docentes_Lista!$A$2:$C$212,3,FALSE),"")</f>
        <v>0</v>
      </c>
    </row>
    <row r="69" spans="1:12" ht="30" customHeight="1">
      <c r="A69" s="2">
        <v>68</v>
      </c>
      <c r="B69" s="3" t="s">
        <v>26</v>
      </c>
      <c r="C69" s="3" t="s">
        <v>125</v>
      </c>
      <c r="D69" s="4" t="s">
        <v>126</v>
      </c>
      <c r="E69" s="3" t="s">
        <v>15</v>
      </c>
      <c r="F69" s="3" t="s">
        <v>20</v>
      </c>
      <c r="G69" s="3" t="s">
        <v>17</v>
      </c>
      <c r="H69" s="4" t="s">
        <v>30</v>
      </c>
      <c r="I69" s="4" t="s">
        <v>31</v>
      </c>
      <c r="J69" s="5">
        <f>IFERROR(VLOOKUP(K69,Docentes_Lista!$A$2:$C$212,2,FALSE),"")</f>
        <v>0</v>
      </c>
      <c r="K69" s="4"/>
      <c r="L69" s="2">
        <f>IFERROR(VLOOKUP(K69,Docentes_Lista!$A$2:$C$212,3,FALSE),"")</f>
        <v>0</v>
      </c>
    </row>
    <row r="70" spans="1:12" ht="30" customHeight="1">
      <c r="A70" s="2">
        <v>69</v>
      </c>
      <c r="B70" s="3" t="s">
        <v>26</v>
      </c>
      <c r="C70" s="3" t="s">
        <v>125</v>
      </c>
      <c r="D70" s="4" t="s">
        <v>126</v>
      </c>
      <c r="E70" s="3" t="s">
        <v>32</v>
      </c>
      <c r="F70" s="3" t="s">
        <v>43</v>
      </c>
      <c r="G70" s="3" t="s">
        <v>17</v>
      </c>
      <c r="H70" s="4" t="s">
        <v>21</v>
      </c>
      <c r="I70" s="4" t="s">
        <v>31</v>
      </c>
      <c r="J70" s="5">
        <f>IFERROR(VLOOKUP(K70,Docentes_Lista!$A$2:$C$212,2,FALSE),"")</f>
        <v>0</v>
      </c>
      <c r="K70" s="4"/>
      <c r="L70" s="2">
        <f>IFERROR(VLOOKUP(K70,Docentes_Lista!$A$2:$C$212,3,FALSE),"")</f>
        <v>0</v>
      </c>
    </row>
    <row r="71" spans="1:12" ht="30" customHeight="1">
      <c r="A71" s="2">
        <v>70</v>
      </c>
      <c r="B71" s="3" t="s">
        <v>26</v>
      </c>
      <c r="C71" s="3" t="s">
        <v>125</v>
      </c>
      <c r="D71" s="4" t="s">
        <v>126</v>
      </c>
      <c r="E71" s="3" t="s">
        <v>35</v>
      </c>
      <c r="F71" s="3" t="s">
        <v>104</v>
      </c>
      <c r="G71" s="3" t="s">
        <v>47</v>
      </c>
      <c r="H71" s="4" t="s">
        <v>105</v>
      </c>
      <c r="I71" s="4" t="s">
        <v>31</v>
      </c>
      <c r="J71" s="5">
        <f>IFERROR(VLOOKUP(K71,Docentes_Lista!$A$2:$C$212,2,FALSE),"")</f>
        <v>0</v>
      </c>
      <c r="K71" s="4"/>
      <c r="L71" s="2">
        <f>IFERROR(VLOOKUP(K71,Docentes_Lista!$A$2:$C$212,3,FALSE),"")</f>
        <v>0</v>
      </c>
    </row>
    <row r="72" spans="1:12" ht="30" customHeight="1">
      <c r="A72" s="2">
        <v>71</v>
      </c>
      <c r="B72" s="3" t="s">
        <v>26</v>
      </c>
      <c r="C72" s="3" t="s">
        <v>127</v>
      </c>
      <c r="D72" s="4" t="s">
        <v>126</v>
      </c>
      <c r="E72" s="3" t="s">
        <v>15</v>
      </c>
      <c r="F72" s="3" t="s">
        <v>23</v>
      </c>
      <c r="G72" s="3"/>
      <c r="H72" s="4" t="s">
        <v>24</v>
      </c>
      <c r="I72" s="4" t="s">
        <v>25</v>
      </c>
      <c r="J72" s="5">
        <f>IFERROR(VLOOKUP(K72,Docentes_Lista!$A$2:$C$212,2,FALSE),"")</f>
        <v>0</v>
      </c>
      <c r="K72" s="4"/>
      <c r="L72" s="2">
        <f>IFERROR(VLOOKUP(K72,Docentes_Lista!$A$2:$C$212,3,FALSE),"")</f>
        <v>0</v>
      </c>
    </row>
    <row r="73" spans="1:12" ht="30" customHeight="1">
      <c r="A73" s="2">
        <v>72</v>
      </c>
      <c r="B73" s="3" t="s">
        <v>26</v>
      </c>
      <c r="C73" s="3" t="s">
        <v>128</v>
      </c>
      <c r="D73" s="4" t="s">
        <v>129</v>
      </c>
      <c r="E73" s="3" t="s">
        <v>15</v>
      </c>
      <c r="F73" s="3" t="s">
        <v>20</v>
      </c>
      <c r="G73" s="3" t="s">
        <v>17</v>
      </c>
      <c r="H73" s="4" t="s">
        <v>30</v>
      </c>
      <c r="I73" s="4" t="s">
        <v>31</v>
      </c>
      <c r="J73" s="5">
        <f>IFERROR(VLOOKUP(K73,Docentes_Lista!$A$2:$C$212,2,FALSE),"")</f>
        <v>0</v>
      </c>
      <c r="K73" s="4"/>
      <c r="L73" s="2">
        <f>IFERROR(VLOOKUP(K73,Docentes_Lista!$A$2:$C$212,3,FALSE),"")</f>
        <v>0</v>
      </c>
    </row>
    <row r="74" spans="1:12" ht="30" customHeight="1">
      <c r="A74" s="2">
        <v>73</v>
      </c>
      <c r="B74" s="3" t="s">
        <v>26</v>
      </c>
      <c r="C74" s="3" t="s">
        <v>128</v>
      </c>
      <c r="D74" s="4" t="s">
        <v>129</v>
      </c>
      <c r="E74" s="3" t="s">
        <v>32</v>
      </c>
      <c r="F74" s="3" t="s">
        <v>33</v>
      </c>
      <c r="G74" s="3" t="s">
        <v>17</v>
      </c>
      <c r="H74" s="4" t="s">
        <v>18</v>
      </c>
      <c r="I74" s="4" t="s">
        <v>31</v>
      </c>
      <c r="J74" s="5">
        <f>IFERROR(VLOOKUP(K74,Docentes_Lista!$A$2:$C$212,2,FALSE),"")</f>
        <v>0</v>
      </c>
      <c r="K74" s="4"/>
      <c r="L74" s="2">
        <f>IFERROR(VLOOKUP(K74,Docentes_Lista!$A$2:$C$212,3,FALSE),"")</f>
        <v>0</v>
      </c>
    </row>
    <row r="75" spans="1:12" ht="30" customHeight="1">
      <c r="A75" s="2">
        <v>74</v>
      </c>
      <c r="B75" s="3" t="s">
        <v>26</v>
      </c>
      <c r="C75" s="3" t="s">
        <v>128</v>
      </c>
      <c r="D75" s="4" t="s">
        <v>129</v>
      </c>
      <c r="E75" s="3" t="s">
        <v>35</v>
      </c>
      <c r="F75" s="3" t="s">
        <v>104</v>
      </c>
      <c r="G75" s="3" t="s">
        <v>47</v>
      </c>
      <c r="H75" s="4" t="s">
        <v>105</v>
      </c>
      <c r="I75" s="4" t="s">
        <v>31</v>
      </c>
      <c r="J75" s="5">
        <f>IFERROR(VLOOKUP(K75,Docentes_Lista!$A$2:$C$212,2,FALSE),"")</f>
        <v>0</v>
      </c>
      <c r="K75" s="4"/>
      <c r="L75" s="2">
        <f>IFERROR(VLOOKUP(K75,Docentes_Lista!$A$2:$C$212,3,FALSE),"")</f>
        <v>0</v>
      </c>
    </row>
    <row r="76" spans="1:12" ht="30" customHeight="1">
      <c r="A76" s="2">
        <v>75</v>
      </c>
      <c r="B76" s="3" t="s">
        <v>26</v>
      </c>
      <c r="C76" s="3" t="s">
        <v>130</v>
      </c>
      <c r="D76" s="4" t="s">
        <v>131</v>
      </c>
      <c r="E76" s="3" t="s">
        <v>15</v>
      </c>
      <c r="F76" s="3" t="s">
        <v>23</v>
      </c>
      <c r="G76" s="3"/>
      <c r="H76" s="4" t="s">
        <v>24</v>
      </c>
      <c r="I76" s="4" t="s">
        <v>25</v>
      </c>
      <c r="J76" s="5">
        <f>IFERROR(VLOOKUP(K76,Docentes_Lista!$A$2:$C$212,2,FALSE),"")</f>
        <v>0</v>
      </c>
      <c r="K76" s="4"/>
      <c r="L76" s="2">
        <f>IFERROR(VLOOKUP(K76,Docentes_Lista!$A$2:$C$212,3,FALSE),"")</f>
        <v>0</v>
      </c>
    </row>
    <row r="77" spans="1:12" ht="30" customHeight="1">
      <c r="A77" s="2">
        <v>76</v>
      </c>
      <c r="B77" s="3" t="s">
        <v>26</v>
      </c>
      <c r="C77" s="3" t="s">
        <v>130</v>
      </c>
      <c r="D77" s="4" t="s">
        <v>131</v>
      </c>
      <c r="E77" s="3" t="s">
        <v>32</v>
      </c>
      <c r="F77" s="3" t="s">
        <v>23</v>
      </c>
      <c r="G77" s="3"/>
      <c r="H77" s="4" t="s">
        <v>24</v>
      </c>
      <c r="I77" s="4" t="s">
        <v>25</v>
      </c>
      <c r="J77" s="5">
        <f>IFERROR(VLOOKUP(K77,Docentes_Lista!$A$2:$C$212,2,FALSE),"")</f>
        <v>0</v>
      </c>
      <c r="K77" s="4"/>
      <c r="L77" s="2">
        <f>IFERROR(VLOOKUP(K77,Docentes_Lista!$A$2:$C$212,3,FALSE),"")</f>
        <v>0</v>
      </c>
    </row>
    <row r="78" spans="1:12" ht="30" customHeight="1">
      <c r="A78" s="2">
        <v>77</v>
      </c>
      <c r="B78" s="3" t="s">
        <v>26</v>
      </c>
      <c r="C78" s="3" t="s">
        <v>132</v>
      </c>
      <c r="D78" s="4" t="s">
        <v>133</v>
      </c>
      <c r="E78" s="3" t="s">
        <v>15</v>
      </c>
      <c r="F78" s="3" t="s">
        <v>23</v>
      </c>
      <c r="G78" s="3"/>
      <c r="H78" s="4" t="s">
        <v>24</v>
      </c>
      <c r="I78" s="4" t="s">
        <v>25</v>
      </c>
      <c r="J78" s="5">
        <f>IFERROR(VLOOKUP(K78,Docentes_Lista!$A$2:$C$212,2,FALSE),"")</f>
        <v>0</v>
      </c>
      <c r="K78" s="4"/>
      <c r="L78" s="2">
        <f>IFERROR(VLOOKUP(K78,Docentes_Lista!$A$2:$C$212,3,FALSE),"")</f>
        <v>0</v>
      </c>
    </row>
    <row r="79" spans="1:12" ht="30" customHeight="1">
      <c r="A79" s="2">
        <v>78</v>
      </c>
      <c r="B79" s="3" t="s">
        <v>26</v>
      </c>
      <c r="C79" s="3" t="s">
        <v>134</v>
      </c>
      <c r="D79" s="4" t="s">
        <v>135</v>
      </c>
      <c r="E79" s="3" t="s">
        <v>15</v>
      </c>
      <c r="F79" s="3" t="s">
        <v>23</v>
      </c>
      <c r="G79" s="3"/>
      <c r="H79" s="4" t="s">
        <v>24</v>
      </c>
      <c r="I79" s="4" t="s">
        <v>25</v>
      </c>
      <c r="J79" s="5">
        <f>IFERROR(VLOOKUP(K79,Docentes_Lista!$A$2:$C$212,2,FALSE),"")</f>
        <v>0</v>
      </c>
      <c r="K79" s="4"/>
      <c r="L79" s="2">
        <f>IFERROR(VLOOKUP(K79,Docentes_Lista!$A$2:$C$212,3,FALSE),"")</f>
        <v>0</v>
      </c>
    </row>
    <row r="80" spans="1:12" ht="30" customHeight="1">
      <c r="A80" s="2">
        <v>79</v>
      </c>
      <c r="B80" s="3" t="s">
        <v>36</v>
      </c>
      <c r="C80" s="3" t="s">
        <v>136</v>
      </c>
      <c r="D80" s="4" t="s">
        <v>137</v>
      </c>
      <c r="E80" s="3" t="s">
        <v>15</v>
      </c>
      <c r="F80" s="3" t="s">
        <v>23</v>
      </c>
      <c r="G80" s="3"/>
      <c r="H80" s="4" t="s">
        <v>24</v>
      </c>
      <c r="I80" s="4" t="s">
        <v>25</v>
      </c>
      <c r="J80" s="5">
        <f>IFERROR(VLOOKUP(K80,Docentes_Lista!$A$2:$C$212,2,FALSE),"")</f>
        <v>0</v>
      </c>
      <c r="K80" s="4"/>
      <c r="L80" s="2">
        <f>IFERROR(VLOOKUP(K80,Docentes_Lista!$A$2:$C$212,3,FALSE),"")</f>
        <v>0</v>
      </c>
    </row>
    <row r="81" spans="1:12" ht="30" customHeight="1">
      <c r="A81" s="2">
        <v>80</v>
      </c>
      <c r="B81" s="3" t="s">
        <v>36</v>
      </c>
      <c r="C81" s="3" t="s">
        <v>136</v>
      </c>
      <c r="D81" s="4" t="s">
        <v>137</v>
      </c>
      <c r="E81" s="3" t="s">
        <v>32</v>
      </c>
      <c r="F81" s="3" t="s">
        <v>23</v>
      </c>
      <c r="G81" s="3"/>
      <c r="H81" s="4" t="s">
        <v>24</v>
      </c>
      <c r="I81" s="4" t="s">
        <v>25</v>
      </c>
      <c r="J81" s="5">
        <f>IFERROR(VLOOKUP(K81,Docentes_Lista!$A$2:$C$212,2,FALSE),"")</f>
        <v>0</v>
      </c>
      <c r="K81" s="4"/>
      <c r="L81" s="2">
        <f>IFERROR(VLOOKUP(K81,Docentes_Lista!$A$2:$C$212,3,FALSE),"")</f>
        <v>0</v>
      </c>
    </row>
    <row r="82" spans="1:12" ht="30" customHeight="1">
      <c r="A82" s="2">
        <v>81</v>
      </c>
      <c r="B82" s="3" t="s">
        <v>36</v>
      </c>
      <c r="C82" s="3" t="s">
        <v>138</v>
      </c>
      <c r="D82" s="4" t="s">
        <v>139</v>
      </c>
      <c r="E82" s="3" t="s">
        <v>15</v>
      </c>
      <c r="F82" s="3" t="s">
        <v>23</v>
      </c>
      <c r="G82" s="3"/>
      <c r="H82" s="4" t="s">
        <v>24</v>
      </c>
      <c r="I82" s="4" t="s">
        <v>25</v>
      </c>
      <c r="J82" s="5">
        <f>IFERROR(VLOOKUP(K82,Docentes_Lista!$A$2:$C$212,2,FALSE),"")</f>
        <v>0</v>
      </c>
      <c r="K82" s="4"/>
      <c r="L82" s="2">
        <f>IFERROR(VLOOKUP(K82,Docentes_Lista!$A$2:$C$212,3,FALSE),"")</f>
        <v>0</v>
      </c>
    </row>
    <row r="83" spans="1:12" ht="30" customHeight="1">
      <c r="A83" s="2">
        <v>82</v>
      </c>
      <c r="B83" s="3" t="s">
        <v>12</v>
      </c>
      <c r="C83" s="3" t="s">
        <v>140</v>
      </c>
      <c r="D83" s="4" t="s">
        <v>141</v>
      </c>
      <c r="E83" s="3" t="s">
        <v>15</v>
      </c>
      <c r="F83" s="3" t="s">
        <v>23</v>
      </c>
      <c r="G83" s="3"/>
      <c r="H83" s="4" t="s">
        <v>24</v>
      </c>
      <c r="I83" s="4" t="s">
        <v>25</v>
      </c>
      <c r="J83" s="5">
        <f>IFERROR(VLOOKUP(K83,Docentes_Lista!$A$2:$C$212,2,FALSE),"")</f>
        <v>0</v>
      </c>
      <c r="K83" s="4"/>
      <c r="L83" s="2">
        <f>IFERROR(VLOOKUP(K83,Docentes_Lista!$A$2:$C$212,3,FALSE),"")</f>
        <v>0</v>
      </c>
    </row>
    <row r="84" spans="1:12" ht="30" customHeight="1">
      <c r="A84" s="2">
        <v>83</v>
      </c>
      <c r="B84" s="3" t="s">
        <v>36</v>
      </c>
      <c r="C84" s="3" t="s">
        <v>142</v>
      </c>
      <c r="D84" s="4" t="s">
        <v>143</v>
      </c>
      <c r="E84" s="3" t="s">
        <v>15</v>
      </c>
      <c r="F84" s="3" t="s">
        <v>23</v>
      </c>
      <c r="G84" s="3"/>
      <c r="H84" s="4" t="s">
        <v>24</v>
      </c>
      <c r="I84" s="4" t="s">
        <v>25</v>
      </c>
      <c r="J84" s="5">
        <f>IFERROR(VLOOKUP(K84,Docentes_Lista!$A$2:$C$212,2,FALSE),"")</f>
        <v>0</v>
      </c>
      <c r="K84" s="4"/>
      <c r="L84" s="2">
        <f>IFERROR(VLOOKUP(K84,Docentes_Lista!$A$2:$C$212,3,FALSE),"")</f>
        <v>0</v>
      </c>
    </row>
    <row r="85" spans="1:12" ht="30" customHeight="1">
      <c r="A85" s="2">
        <v>84</v>
      </c>
      <c r="B85" s="3" t="s">
        <v>36</v>
      </c>
      <c r="C85" s="3" t="s">
        <v>144</v>
      </c>
      <c r="D85" s="4" t="s">
        <v>145</v>
      </c>
      <c r="E85" s="3" t="s">
        <v>15</v>
      </c>
      <c r="F85" s="3" t="s">
        <v>16</v>
      </c>
      <c r="G85" s="3" t="s">
        <v>17</v>
      </c>
      <c r="H85" s="4" t="s">
        <v>18</v>
      </c>
      <c r="I85" s="4" t="s">
        <v>19</v>
      </c>
      <c r="J85" s="5">
        <f>IFERROR(VLOOKUP(K85,Docentes_Lista!$A$2:$C$212,2,FALSE),"")</f>
        <v>0</v>
      </c>
      <c r="K85" s="4"/>
      <c r="L85" s="2">
        <f>IFERROR(VLOOKUP(K85,Docentes_Lista!$A$2:$C$212,3,FALSE),"")</f>
        <v>0</v>
      </c>
    </row>
    <row r="86" spans="1:12" ht="30" customHeight="1">
      <c r="A86" s="2">
        <v>85</v>
      </c>
      <c r="B86" s="3" t="s">
        <v>36</v>
      </c>
      <c r="C86" s="3" t="s">
        <v>146</v>
      </c>
      <c r="D86" s="4" t="s">
        <v>143</v>
      </c>
      <c r="E86" s="3" t="s">
        <v>15</v>
      </c>
      <c r="F86" s="3" t="s">
        <v>23</v>
      </c>
      <c r="G86" s="3"/>
      <c r="H86" s="4" t="s">
        <v>24</v>
      </c>
      <c r="I86" s="4" t="s">
        <v>25</v>
      </c>
      <c r="J86" s="5">
        <f>IFERROR(VLOOKUP(K86,Docentes_Lista!$A$2:$C$212,2,FALSE),"")</f>
        <v>0</v>
      </c>
      <c r="K86" s="4"/>
      <c r="L86" s="2">
        <f>IFERROR(VLOOKUP(K86,Docentes_Lista!$A$2:$C$212,3,FALSE),"")</f>
        <v>0</v>
      </c>
    </row>
    <row r="87" spans="1:12" ht="30" customHeight="1">
      <c r="A87" s="2">
        <v>86</v>
      </c>
      <c r="B87" s="3" t="s">
        <v>12</v>
      </c>
      <c r="C87" s="3" t="s">
        <v>147</v>
      </c>
      <c r="D87" s="4" t="s">
        <v>148</v>
      </c>
      <c r="E87" s="3" t="s">
        <v>15</v>
      </c>
      <c r="F87" s="3" t="s">
        <v>23</v>
      </c>
      <c r="G87" s="3"/>
      <c r="H87" s="4" t="s">
        <v>24</v>
      </c>
      <c r="I87" s="4" t="s">
        <v>25</v>
      </c>
      <c r="J87" s="5">
        <f>IFERROR(VLOOKUP(K87,Docentes_Lista!$A$2:$C$212,2,FALSE),"")</f>
        <v>0</v>
      </c>
      <c r="K87" s="4"/>
      <c r="L87" s="2">
        <f>IFERROR(VLOOKUP(K87,Docentes_Lista!$A$2:$C$212,3,FALSE),"")</f>
        <v>0</v>
      </c>
    </row>
    <row r="88" spans="1:12" ht="30" customHeight="1">
      <c r="A88" s="2">
        <v>87</v>
      </c>
      <c r="B88" s="3" t="s">
        <v>36</v>
      </c>
      <c r="C88" s="3" t="s">
        <v>149</v>
      </c>
      <c r="D88" s="4" t="s">
        <v>150</v>
      </c>
      <c r="E88" s="3" t="s">
        <v>15</v>
      </c>
      <c r="F88" s="3" t="s">
        <v>44</v>
      </c>
      <c r="G88" s="3" t="s">
        <v>17</v>
      </c>
      <c r="H88" s="4" t="s">
        <v>151</v>
      </c>
      <c r="I88" s="4" t="s">
        <v>19</v>
      </c>
      <c r="J88" s="5">
        <f>IFERROR(VLOOKUP(K88,Docentes_Lista!$A$2:$C$212,2,FALSE),"")</f>
        <v>0</v>
      </c>
      <c r="K88" s="4"/>
      <c r="L88" s="2">
        <f>IFERROR(VLOOKUP(K88,Docentes_Lista!$A$2:$C$212,3,FALSE),"")</f>
        <v>0</v>
      </c>
    </row>
    <row r="89" spans="1:12" ht="30" customHeight="1">
      <c r="A89" s="2">
        <v>88</v>
      </c>
      <c r="B89" s="3" t="s">
        <v>12</v>
      </c>
      <c r="C89" s="3" t="s">
        <v>152</v>
      </c>
      <c r="D89" s="4" t="s">
        <v>153</v>
      </c>
      <c r="E89" s="3" t="s">
        <v>15</v>
      </c>
      <c r="F89" s="3" t="s">
        <v>23</v>
      </c>
      <c r="G89" s="3"/>
      <c r="H89" s="4" t="s">
        <v>24</v>
      </c>
      <c r="I89" s="4" t="s">
        <v>25</v>
      </c>
      <c r="J89" s="5">
        <f>IFERROR(VLOOKUP(K89,Docentes_Lista!$A$2:$C$212,2,FALSE),"")</f>
        <v>0</v>
      </c>
      <c r="K89" s="4"/>
      <c r="L89" s="2">
        <f>IFERROR(VLOOKUP(K89,Docentes_Lista!$A$2:$C$212,3,FALSE),"")</f>
        <v>0</v>
      </c>
    </row>
    <row r="90" spans="1:12" ht="30" customHeight="1">
      <c r="A90" s="2">
        <v>89</v>
      </c>
      <c r="B90" s="3" t="s">
        <v>36</v>
      </c>
      <c r="C90" s="3" t="s">
        <v>154</v>
      </c>
      <c r="D90" s="4" t="s">
        <v>155</v>
      </c>
      <c r="E90" s="3" t="s">
        <v>15</v>
      </c>
      <c r="F90" s="3" t="s">
        <v>23</v>
      </c>
      <c r="G90" s="3"/>
      <c r="H90" s="4" t="s">
        <v>24</v>
      </c>
      <c r="I90" s="4" t="s">
        <v>25</v>
      </c>
      <c r="J90" s="5">
        <f>IFERROR(VLOOKUP(K90,Docentes_Lista!$A$2:$C$212,2,FALSE),"")</f>
        <v>0</v>
      </c>
      <c r="K90" s="4"/>
      <c r="L90" s="2">
        <f>IFERROR(VLOOKUP(K90,Docentes_Lista!$A$2:$C$212,3,FALSE),"")</f>
        <v>0</v>
      </c>
    </row>
    <row r="91" spans="1:12" ht="30" customHeight="1">
      <c r="A91" s="2">
        <v>90</v>
      </c>
      <c r="B91" s="3" t="s">
        <v>26</v>
      </c>
      <c r="C91" s="3" t="s">
        <v>156</v>
      </c>
      <c r="D91" s="4" t="s">
        <v>157</v>
      </c>
      <c r="E91" s="3" t="s">
        <v>15</v>
      </c>
      <c r="F91" s="3" t="s">
        <v>23</v>
      </c>
      <c r="G91" s="3"/>
      <c r="H91" s="4" t="s">
        <v>24</v>
      </c>
      <c r="I91" s="4" t="s">
        <v>25</v>
      </c>
      <c r="J91" s="5">
        <f>IFERROR(VLOOKUP(K91,Docentes_Lista!$A$2:$C$212,2,FALSE),"")</f>
        <v>0</v>
      </c>
      <c r="K91" s="4"/>
      <c r="L91" s="2">
        <f>IFERROR(VLOOKUP(K91,Docentes_Lista!$A$2:$C$212,3,FALSE),"")</f>
        <v>0</v>
      </c>
    </row>
    <row r="92" spans="1:12" ht="30" customHeight="1">
      <c r="A92" s="2">
        <v>91</v>
      </c>
      <c r="B92" s="3" t="s">
        <v>26</v>
      </c>
      <c r="C92" s="3" t="s">
        <v>158</v>
      </c>
      <c r="D92" s="4" t="s">
        <v>159</v>
      </c>
      <c r="E92" s="3" t="s">
        <v>15</v>
      </c>
      <c r="F92" s="3" t="s">
        <v>23</v>
      </c>
      <c r="G92" s="3"/>
      <c r="H92" s="4" t="s">
        <v>24</v>
      </c>
      <c r="I92" s="4" t="s">
        <v>25</v>
      </c>
      <c r="J92" s="5">
        <f>IFERROR(VLOOKUP(K92,Docentes_Lista!$A$2:$C$212,2,FALSE),"")</f>
        <v>0</v>
      </c>
      <c r="K92" s="4"/>
      <c r="L92" s="2">
        <f>IFERROR(VLOOKUP(K92,Docentes_Lista!$A$2:$C$212,3,FALSE),"")</f>
        <v>0</v>
      </c>
    </row>
    <row r="93" spans="1:12" ht="30" customHeight="1">
      <c r="A93" s="2">
        <v>92</v>
      </c>
      <c r="B93" s="3" t="s">
        <v>12</v>
      </c>
      <c r="C93" s="3" t="s">
        <v>160</v>
      </c>
      <c r="D93" s="4" t="s">
        <v>161</v>
      </c>
      <c r="E93" s="3" t="s">
        <v>15</v>
      </c>
      <c r="F93" s="3" t="s">
        <v>23</v>
      </c>
      <c r="G93" s="3"/>
      <c r="H93" s="4" t="s">
        <v>24</v>
      </c>
      <c r="I93" s="4" t="s">
        <v>25</v>
      </c>
      <c r="J93" s="5">
        <f>IFERROR(VLOOKUP(K93,Docentes_Lista!$A$2:$C$212,2,FALSE),"")</f>
        <v>0</v>
      </c>
      <c r="K93" s="4"/>
      <c r="L93" s="2">
        <f>IFERROR(VLOOKUP(K93,Docentes_Lista!$A$2:$C$212,3,FALSE),"")</f>
        <v>0</v>
      </c>
    </row>
    <row r="94" spans="1:12" ht="30" customHeight="1">
      <c r="A94" s="2">
        <v>93</v>
      </c>
      <c r="B94" s="3" t="s">
        <v>12</v>
      </c>
      <c r="C94" s="3" t="s">
        <v>162</v>
      </c>
      <c r="D94" s="4" t="s">
        <v>163</v>
      </c>
      <c r="E94" s="3" t="s">
        <v>15</v>
      </c>
      <c r="F94" s="3" t="s">
        <v>33</v>
      </c>
      <c r="G94" s="3" t="s">
        <v>17</v>
      </c>
      <c r="H94" s="4" t="s">
        <v>164</v>
      </c>
      <c r="I94" s="4" t="s">
        <v>19</v>
      </c>
      <c r="J94" s="5">
        <f>IFERROR(VLOOKUP(K94,Docentes_Lista!$A$2:$C$212,2,FALSE),"")</f>
        <v>0</v>
      </c>
      <c r="K94" s="4"/>
      <c r="L94" s="2">
        <f>IFERROR(VLOOKUP(K94,Docentes_Lista!$A$2:$C$212,3,FALSE),"")</f>
        <v>0</v>
      </c>
    </row>
    <row r="95" spans="1:12" ht="30" customHeight="1">
      <c r="A95" s="2">
        <v>94</v>
      </c>
      <c r="B95" s="3" t="s">
        <v>56</v>
      </c>
      <c r="C95" s="3" t="s">
        <v>165</v>
      </c>
      <c r="D95" s="4" t="s">
        <v>166</v>
      </c>
      <c r="E95" s="3" t="s">
        <v>15</v>
      </c>
      <c r="F95" s="3" t="s">
        <v>23</v>
      </c>
      <c r="G95" s="3"/>
      <c r="H95" s="4" t="s">
        <v>24</v>
      </c>
      <c r="I95" s="4" t="s">
        <v>25</v>
      </c>
      <c r="J95" s="5">
        <f>IFERROR(VLOOKUP(K95,Docentes_Lista!$A$2:$C$212,2,FALSE),"")</f>
        <v>0</v>
      </c>
      <c r="K95" s="4"/>
      <c r="L95" s="2">
        <f>IFERROR(VLOOKUP(K95,Docentes_Lista!$A$2:$C$212,3,FALSE),"")</f>
        <v>0</v>
      </c>
    </row>
    <row r="96" spans="1:12" ht="30" customHeight="1">
      <c r="A96" s="2">
        <v>95</v>
      </c>
      <c r="B96" s="3" t="s">
        <v>36</v>
      </c>
      <c r="C96" s="3" t="s">
        <v>167</v>
      </c>
      <c r="D96" s="4" t="s">
        <v>108</v>
      </c>
      <c r="E96" s="3" t="s">
        <v>15</v>
      </c>
      <c r="F96" s="3" t="s">
        <v>23</v>
      </c>
      <c r="G96" s="3"/>
      <c r="H96" s="4" t="s">
        <v>24</v>
      </c>
      <c r="I96" s="4" t="s">
        <v>25</v>
      </c>
      <c r="J96" s="5">
        <f>IFERROR(VLOOKUP(K96,Docentes_Lista!$A$2:$C$212,2,FALSE),"")</f>
        <v>0</v>
      </c>
      <c r="K96" s="4"/>
      <c r="L96" s="2">
        <f>IFERROR(VLOOKUP(K96,Docentes_Lista!$A$2:$C$212,3,FALSE),"")</f>
        <v>0</v>
      </c>
    </row>
    <row r="97" spans="1:12" ht="30" customHeight="1">
      <c r="A97" s="2">
        <v>96</v>
      </c>
      <c r="B97" s="3" t="s">
        <v>26</v>
      </c>
      <c r="C97" s="3" t="s">
        <v>168</v>
      </c>
      <c r="D97" s="4" t="s">
        <v>169</v>
      </c>
      <c r="E97" s="3" t="s">
        <v>15</v>
      </c>
      <c r="F97" s="3" t="s">
        <v>33</v>
      </c>
      <c r="G97" s="3" t="s">
        <v>17</v>
      </c>
      <c r="H97" s="4" t="s">
        <v>18</v>
      </c>
      <c r="I97" s="4" t="s">
        <v>19</v>
      </c>
      <c r="J97" s="5">
        <f>IFERROR(VLOOKUP(K97,Docentes_Lista!$A$2:$C$212,2,FALSE),"")</f>
        <v>0</v>
      </c>
      <c r="K97" s="4"/>
      <c r="L97" s="2">
        <f>IFERROR(VLOOKUP(K97,Docentes_Lista!$A$2:$C$212,3,FALSE),"")</f>
        <v>0</v>
      </c>
    </row>
    <row r="98" spans="1:12" ht="30" customHeight="1">
      <c r="A98" s="2">
        <v>97</v>
      </c>
      <c r="B98" s="3" t="s">
        <v>26</v>
      </c>
      <c r="C98" s="3" t="s">
        <v>170</v>
      </c>
      <c r="D98" s="4" t="s">
        <v>171</v>
      </c>
      <c r="E98" s="3" t="s">
        <v>35</v>
      </c>
      <c r="F98" s="3" t="s">
        <v>33</v>
      </c>
      <c r="G98" s="3" t="s">
        <v>17</v>
      </c>
      <c r="H98" s="4" t="s">
        <v>18</v>
      </c>
      <c r="I98" s="4" t="s">
        <v>19</v>
      </c>
      <c r="J98" s="5">
        <f>IFERROR(VLOOKUP(K98,Docentes_Lista!$A$2:$C$212,2,FALSE),"")</f>
        <v>0</v>
      </c>
      <c r="K98" s="4"/>
      <c r="L98" s="2">
        <f>IFERROR(VLOOKUP(K98,Docentes_Lista!$A$2:$C$212,3,FALSE),"")</f>
        <v>0</v>
      </c>
    </row>
    <row r="99" spans="1:12" ht="30" customHeight="1">
      <c r="A99" s="2">
        <v>98</v>
      </c>
      <c r="B99" s="3" t="s">
        <v>26</v>
      </c>
      <c r="C99" s="3" t="s">
        <v>170</v>
      </c>
      <c r="D99" s="4" t="s">
        <v>171</v>
      </c>
      <c r="E99" s="3" t="s">
        <v>32</v>
      </c>
      <c r="F99" s="3" t="s">
        <v>44</v>
      </c>
      <c r="G99" s="3" t="s">
        <v>17</v>
      </c>
      <c r="H99" s="4" t="s">
        <v>21</v>
      </c>
      <c r="I99" s="4" t="s">
        <v>19</v>
      </c>
      <c r="J99" s="5">
        <f>IFERROR(VLOOKUP(K99,Docentes_Lista!$A$2:$C$212,2,FALSE),"")</f>
        <v>0</v>
      </c>
      <c r="K99" s="4"/>
      <c r="L99" s="2">
        <f>IFERROR(VLOOKUP(K99,Docentes_Lista!$A$2:$C$212,3,FALSE),"")</f>
        <v>0</v>
      </c>
    </row>
    <row r="100" spans="1:12" ht="30" customHeight="1">
      <c r="A100" s="2">
        <v>99</v>
      </c>
      <c r="B100" s="3" t="s">
        <v>26</v>
      </c>
      <c r="C100" s="3" t="s">
        <v>170</v>
      </c>
      <c r="D100" s="4" t="s">
        <v>171</v>
      </c>
      <c r="E100" s="3" t="s">
        <v>15</v>
      </c>
      <c r="F100" s="3" t="s">
        <v>20</v>
      </c>
      <c r="G100" s="3" t="s">
        <v>17</v>
      </c>
      <c r="H100" s="4" t="s">
        <v>54</v>
      </c>
      <c r="I100" s="4" t="s">
        <v>19</v>
      </c>
      <c r="J100" s="5">
        <f>IFERROR(VLOOKUP(K100,Docentes_Lista!$A$2:$C$212,2,FALSE),"")</f>
        <v>0</v>
      </c>
      <c r="K100" s="4"/>
      <c r="L100" s="2">
        <f>IFERROR(VLOOKUP(K100,Docentes_Lista!$A$2:$C$212,3,FALSE),"")</f>
        <v>0</v>
      </c>
    </row>
    <row r="101" spans="1:12" ht="30" customHeight="1">
      <c r="A101" s="2">
        <v>100</v>
      </c>
      <c r="B101" s="3" t="s">
        <v>26</v>
      </c>
      <c r="C101" s="3" t="s">
        <v>172</v>
      </c>
      <c r="D101" s="4" t="s">
        <v>173</v>
      </c>
      <c r="E101" s="3" t="s">
        <v>15</v>
      </c>
      <c r="F101" s="3" t="s">
        <v>23</v>
      </c>
      <c r="G101" s="3"/>
      <c r="H101" s="4" t="s">
        <v>24</v>
      </c>
      <c r="I101" s="4" t="s">
        <v>25</v>
      </c>
      <c r="J101" s="5">
        <f>IFERROR(VLOOKUP(K101,Docentes_Lista!$A$2:$C$212,2,FALSE),"")</f>
        <v>0</v>
      </c>
      <c r="K101" s="4"/>
      <c r="L101" s="2">
        <f>IFERROR(VLOOKUP(K101,Docentes_Lista!$A$2:$C$212,3,FALSE),"")</f>
        <v>0</v>
      </c>
    </row>
    <row r="102" spans="1:12" ht="30" customHeight="1">
      <c r="A102" s="2">
        <v>101</v>
      </c>
      <c r="B102" s="3" t="s">
        <v>26</v>
      </c>
      <c r="C102" s="3" t="s">
        <v>172</v>
      </c>
      <c r="D102" s="4" t="s">
        <v>173</v>
      </c>
      <c r="E102" s="3" t="s">
        <v>32</v>
      </c>
      <c r="F102" s="3" t="s">
        <v>23</v>
      </c>
      <c r="G102" s="3"/>
      <c r="H102" s="4" t="s">
        <v>24</v>
      </c>
      <c r="I102" s="4" t="s">
        <v>25</v>
      </c>
      <c r="J102" s="5">
        <f>IFERROR(VLOOKUP(K102,Docentes_Lista!$A$2:$C$212,2,FALSE),"")</f>
        <v>0</v>
      </c>
      <c r="K102" s="4"/>
      <c r="L102" s="2">
        <f>IFERROR(VLOOKUP(K102,Docentes_Lista!$A$2:$C$212,3,FALSE),"")</f>
        <v>0</v>
      </c>
    </row>
    <row r="103" spans="1:12" ht="30" customHeight="1">
      <c r="A103" s="2">
        <v>102</v>
      </c>
      <c r="B103" s="3" t="s">
        <v>26</v>
      </c>
      <c r="C103" s="3" t="s">
        <v>174</v>
      </c>
      <c r="D103" s="4" t="s">
        <v>175</v>
      </c>
      <c r="E103" s="3" t="s">
        <v>15</v>
      </c>
      <c r="F103" s="3" t="s">
        <v>43</v>
      </c>
      <c r="G103" s="3" t="s">
        <v>17</v>
      </c>
      <c r="H103" s="4" t="s">
        <v>30</v>
      </c>
      <c r="I103" s="4" t="s">
        <v>31</v>
      </c>
      <c r="J103" s="5">
        <f>IFERROR(VLOOKUP(K103,Docentes_Lista!$A$2:$C$212,2,FALSE),"")</f>
        <v>0</v>
      </c>
      <c r="K103" s="4"/>
      <c r="L103" s="2">
        <f>IFERROR(VLOOKUP(K103,Docentes_Lista!$A$2:$C$212,3,FALSE),"")</f>
        <v>0</v>
      </c>
    </row>
    <row r="104" spans="1:12" ht="30" customHeight="1">
      <c r="A104" s="2">
        <v>103</v>
      </c>
      <c r="B104" s="3" t="s">
        <v>26</v>
      </c>
      <c r="C104" s="3" t="s">
        <v>174</v>
      </c>
      <c r="D104" s="4" t="s">
        <v>175</v>
      </c>
      <c r="E104" s="3" t="s">
        <v>32</v>
      </c>
      <c r="F104" s="3" t="s">
        <v>33</v>
      </c>
      <c r="G104" s="3" t="s">
        <v>17</v>
      </c>
      <c r="H104" s="4" t="s">
        <v>18</v>
      </c>
      <c r="I104" s="4" t="s">
        <v>31</v>
      </c>
      <c r="J104" s="5">
        <f>IFERROR(VLOOKUP(K104,Docentes_Lista!$A$2:$C$212,2,FALSE),"")</f>
        <v>0</v>
      </c>
      <c r="K104" s="4"/>
      <c r="L104" s="2">
        <f>IFERROR(VLOOKUP(K104,Docentes_Lista!$A$2:$C$212,3,FALSE),"")</f>
        <v>0</v>
      </c>
    </row>
    <row r="105" spans="1:12" ht="30" customHeight="1">
      <c r="A105" s="2">
        <v>104</v>
      </c>
      <c r="B105" s="3" t="s">
        <v>26</v>
      </c>
      <c r="C105" s="3" t="s">
        <v>176</v>
      </c>
      <c r="D105" s="4" t="s">
        <v>177</v>
      </c>
      <c r="E105" s="3">
        <v>1</v>
      </c>
      <c r="F105" s="3" t="s">
        <v>23</v>
      </c>
      <c r="G105" s="3"/>
      <c r="H105" s="4" t="s">
        <v>24</v>
      </c>
      <c r="I105" s="4" t="s">
        <v>25</v>
      </c>
      <c r="J105" s="5">
        <f>IFERROR(VLOOKUP(K105,Docentes_Lista!$A$2:$C$212,2,FALSE),"")</f>
        <v>0</v>
      </c>
      <c r="K105" s="4"/>
      <c r="L105" s="2">
        <f>IFERROR(VLOOKUP(K105,Docentes_Lista!$A$2:$C$212,3,FALSE),"")</f>
        <v>0</v>
      </c>
    </row>
    <row r="106" spans="1:12" ht="30" customHeight="1">
      <c r="A106" s="2">
        <v>105</v>
      </c>
      <c r="B106" s="3" t="s">
        <v>12</v>
      </c>
      <c r="C106" s="3" t="s">
        <v>178</v>
      </c>
      <c r="D106" s="4" t="s">
        <v>179</v>
      </c>
      <c r="E106" s="3" t="s">
        <v>15</v>
      </c>
      <c r="F106" s="3" t="s">
        <v>23</v>
      </c>
      <c r="G106" s="3"/>
      <c r="H106" s="4" t="s">
        <v>24</v>
      </c>
      <c r="I106" s="4" t="s">
        <v>25</v>
      </c>
      <c r="J106" s="5">
        <f>IFERROR(VLOOKUP(K106,Docentes_Lista!$A$2:$C$212,2,FALSE),"")</f>
        <v>0</v>
      </c>
      <c r="K106" s="4"/>
      <c r="L106" s="2">
        <f>IFERROR(VLOOKUP(K106,Docentes_Lista!$A$2:$C$212,3,FALSE),"")</f>
        <v>0</v>
      </c>
    </row>
    <row r="107" spans="1:12" ht="30" customHeight="1">
      <c r="A107" s="2">
        <v>106</v>
      </c>
      <c r="B107" s="3" t="s">
        <v>56</v>
      </c>
      <c r="C107" s="3" t="s">
        <v>180</v>
      </c>
      <c r="D107" s="4" t="s">
        <v>181</v>
      </c>
      <c r="E107" s="3" t="s">
        <v>15</v>
      </c>
      <c r="F107" s="3" t="s">
        <v>23</v>
      </c>
      <c r="G107" s="3"/>
      <c r="H107" s="4" t="s">
        <v>24</v>
      </c>
      <c r="I107" s="4" t="s">
        <v>25</v>
      </c>
      <c r="J107" s="5">
        <f>IFERROR(VLOOKUP(K107,Docentes_Lista!$A$2:$C$212,2,FALSE),"")</f>
        <v>0</v>
      </c>
      <c r="K107" s="4"/>
      <c r="L107" s="2">
        <f>IFERROR(VLOOKUP(K107,Docentes_Lista!$A$2:$C$212,3,FALSE),"")</f>
        <v>0</v>
      </c>
    </row>
    <row r="108" spans="1:12" ht="30" customHeight="1">
      <c r="A108" s="2">
        <v>107</v>
      </c>
      <c r="B108" s="3" t="s">
        <v>56</v>
      </c>
      <c r="C108" s="3" t="s">
        <v>180</v>
      </c>
      <c r="D108" s="4" t="s">
        <v>181</v>
      </c>
      <c r="E108" s="3" t="s">
        <v>32</v>
      </c>
      <c r="F108" s="3" t="s">
        <v>23</v>
      </c>
      <c r="G108" s="3"/>
      <c r="H108" s="4" t="s">
        <v>24</v>
      </c>
      <c r="I108" s="4" t="s">
        <v>25</v>
      </c>
      <c r="J108" s="5">
        <f>IFERROR(VLOOKUP(K108,Docentes_Lista!$A$2:$C$212,2,FALSE),"")</f>
        <v>0</v>
      </c>
      <c r="K108" s="4"/>
      <c r="L108" s="2">
        <f>IFERROR(VLOOKUP(K108,Docentes_Lista!$A$2:$C$212,3,FALSE),"")</f>
        <v>0</v>
      </c>
    </row>
    <row r="109" spans="1:12" ht="30" customHeight="1">
      <c r="A109" s="2">
        <v>108</v>
      </c>
      <c r="B109" s="3" t="s">
        <v>12</v>
      </c>
      <c r="C109" s="3" t="s">
        <v>182</v>
      </c>
      <c r="D109" s="4" t="s">
        <v>183</v>
      </c>
      <c r="E109" s="3" t="s">
        <v>15</v>
      </c>
      <c r="F109" s="3" t="s">
        <v>23</v>
      </c>
      <c r="G109" s="3"/>
      <c r="H109" s="4" t="s">
        <v>24</v>
      </c>
      <c r="I109" s="4" t="s">
        <v>25</v>
      </c>
      <c r="J109" s="5">
        <f>IFERROR(VLOOKUP(K109,Docentes_Lista!$A$2:$C$212,2,FALSE),"")</f>
        <v>0</v>
      </c>
      <c r="K109" s="4"/>
      <c r="L109" s="2">
        <f>IFERROR(VLOOKUP(K109,Docentes_Lista!$A$2:$C$212,3,FALSE),"")</f>
        <v>0</v>
      </c>
    </row>
    <row r="110" spans="1:12" ht="30" customHeight="1">
      <c r="A110" s="2">
        <v>109</v>
      </c>
      <c r="B110" s="3" t="s">
        <v>26</v>
      </c>
      <c r="C110" s="3" t="s">
        <v>184</v>
      </c>
      <c r="D110" s="4" t="s">
        <v>185</v>
      </c>
      <c r="E110" s="3" t="s">
        <v>15</v>
      </c>
      <c r="F110" s="3" t="s">
        <v>23</v>
      </c>
      <c r="G110" s="3"/>
      <c r="H110" s="4" t="s">
        <v>24</v>
      </c>
      <c r="I110" s="4" t="s">
        <v>25</v>
      </c>
      <c r="J110" s="5">
        <f>IFERROR(VLOOKUP(K110,Docentes_Lista!$A$2:$C$212,2,FALSE),"")</f>
        <v>0</v>
      </c>
      <c r="K110" s="4"/>
      <c r="L110" s="2">
        <f>IFERROR(VLOOKUP(K110,Docentes_Lista!$A$2:$C$212,3,FALSE),"")</f>
        <v>0</v>
      </c>
    </row>
    <row r="111" spans="1:12" ht="30" customHeight="1">
      <c r="A111" s="2">
        <v>110</v>
      </c>
      <c r="B111" s="3" t="s">
        <v>26</v>
      </c>
      <c r="C111" s="3" t="s">
        <v>184</v>
      </c>
      <c r="D111" s="4" t="s">
        <v>185</v>
      </c>
      <c r="E111" s="3" t="s">
        <v>32</v>
      </c>
      <c r="F111" s="3" t="s">
        <v>23</v>
      </c>
      <c r="G111" s="3"/>
      <c r="H111" s="4" t="s">
        <v>24</v>
      </c>
      <c r="I111" s="4" t="s">
        <v>25</v>
      </c>
      <c r="J111" s="5">
        <f>IFERROR(VLOOKUP(K111,Docentes_Lista!$A$2:$C$212,2,FALSE),"")</f>
        <v>0</v>
      </c>
      <c r="K111" s="4"/>
      <c r="L111" s="2">
        <f>IFERROR(VLOOKUP(K111,Docentes_Lista!$A$2:$C$212,3,FALSE),"")</f>
        <v>0</v>
      </c>
    </row>
    <row r="112" spans="1:12" ht="30" customHeight="1">
      <c r="A112" s="2">
        <v>111</v>
      </c>
      <c r="B112" s="3" t="s">
        <v>12</v>
      </c>
      <c r="C112" s="3" t="s">
        <v>186</v>
      </c>
      <c r="D112" s="4" t="s">
        <v>187</v>
      </c>
      <c r="E112" s="3" t="s">
        <v>15</v>
      </c>
      <c r="F112" s="3" t="s">
        <v>23</v>
      </c>
      <c r="G112" s="3"/>
      <c r="H112" s="4" t="s">
        <v>24</v>
      </c>
      <c r="I112" s="4" t="s">
        <v>25</v>
      </c>
      <c r="J112" s="5">
        <f>IFERROR(VLOOKUP(K112,Docentes_Lista!$A$2:$C$212,2,FALSE),"")</f>
        <v>0</v>
      </c>
      <c r="K112" s="4"/>
      <c r="L112" s="2">
        <f>IFERROR(VLOOKUP(K112,Docentes_Lista!$A$2:$C$212,3,FALSE),"")</f>
        <v>0</v>
      </c>
    </row>
    <row r="113" spans="1:12" ht="30" customHeight="1">
      <c r="A113" s="2">
        <v>112</v>
      </c>
      <c r="B113" s="3" t="s">
        <v>12</v>
      </c>
      <c r="C113" s="3" t="s">
        <v>188</v>
      </c>
      <c r="D113" s="4" t="s">
        <v>189</v>
      </c>
      <c r="E113" s="3" t="s">
        <v>15</v>
      </c>
      <c r="F113" s="3" t="s">
        <v>20</v>
      </c>
      <c r="G113" s="3" t="s">
        <v>17</v>
      </c>
      <c r="H113" s="4" t="s">
        <v>21</v>
      </c>
      <c r="I113" s="4" t="s">
        <v>19</v>
      </c>
      <c r="J113" s="5">
        <f>IFERROR(VLOOKUP(K113,Docentes_Lista!$A$2:$C$212,2,FALSE),"")</f>
        <v>0</v>
      </c>
      <c r="K113" s="4"/>
      <c r="L113" s="2">
        <f>IFERROR(VLOOKUP(K113,Docentes_Lista!$A$2:$C$212,3,FALSE),"")</f>
        <v>0</v>
      </c>
    </row>
    <row r="114" spans="1:12" ht="30" customHeight="1">
      <c r="A114" s="2">
        <v>113</v>
      </c>
      <c r="B114" s="3" t="s">
        <v>12</v>
      </c>
      <c r="C114" s="3" t="s">
        <v>188</v>
      </c>
      <c r="D114" s="4" t="s">
        <v>189</v>
      </c>
      <c r="E114" s="3" t="s">
        <v>32</v>
      </c>
      <c r="F114" s="3" t="s">
        <v>33</v>
      </c>
      <c r="G114" s="3" t="s">
        <v>17</v>
      </c>
      <c r="H114" s="4" t="s">
        <v>21</v>
      </c>
      <c r="I114" s="4" t="s">
        <v>19</v>
      </c>
      <c r="J114" s="5">
        <f>IFERROR(VLOOKUP(K114,Docentes_Lista!$A$2:$C$212,2,FALSE),"")</f>
        <v>0</v>
      </c>
      <c r="K114" s="4"/>
      <c r="L114" s="2">
        <f>IFERROR(VLOOKUP(K114,Docentes_Lista!$A$2:$C$212,3,FALSE),"")</f>
        <v>0</v>
      </c>
    </row>
    <row r="115" spans="1:12" ht="30" customHeight="1">
      <c r="A115" s="2">
        <v>114</v>
      </c>
      <c r="B115" s="3" t="s">
        <v>12</v>
      </c>
      <c r="C115" s="3" t="s">
        <v>190</v>
      </c>
      <c r="D115" s="4" t="s">
        <v>64</v>
      </c>
      <c r="E115" s="3" t="s">
        <v>15</v>
      </c>
      <c r="F115" s="3" t="s">
        <v>44</v>
      </c>
      <c r="G115" s="3" t="s">
        <v>17</v>
      </c>
      <c r="H115" s="4" t="s">
        <v>21</v>
      </c>
      <c r="I115" s="4" t="s">
        <v>31</v>
      </c>
      <c r="J115" s="5">
        <f>IFERROR(VLOOKUP(K115,Docentes_Lista!$A$2:$C$212,2,FALSE),"")</f>
        <v>0</v>
      </c>
      <c r="K115" s="4"/>
      <c r="L115" s="2">
        <f>IFERROR(VLOOKUP(K115,Docentes_Lista!$A$2:$C$212,3,FALSE),"")</f>
        <v>0</v>
      </c>
    </row>
    <row r="116" spans="1:12" ht="30" customHeight="1">
      <c r="A116" s="2">
        <v>115</v>
      </c>
      <c r="B116" s="3" t="s">
        <v>12</v>
      </c>
      <c r="C116" s="3" t="s">
        <v>190</v>
      </c>
      <c r="D116" s="4" t="s">
        <v>64</v>
      </c>
      <c r="E116" s="3" t="s">
        <v>32</v>
      </c>
      <c r="F116" s="3" t="s">
        <v>123</v>
      </c>
      <c r="G116" s="3" t="s">
        <v>47</v>
      </c>
      <c r="H116" s="4" t="s">
        <v>105</v>
      </c>
      <c r="I116" s="4" t="s">
        <v>31</v>
      </c>
      <c r="J116" s="5">
        <f>IFERROR(VLOOKUP(K116,Docentes_Lista!$A$2:$C$212,2,FALSE),"")</f>
        <v>0</v>
      </c>
      <c r="K116" s="4"/>
      <c r="L116" s="2">
        <f>IFERROR(VLOOKUP(K116,Docentes_Lista!$A$2:$C$212,3,FALSE),"")</f>
        <v>0</v>
      </c>
    </row>
    <row r="117" spans="1:12" ht="30" customHeight="1">
      <c r="A117" s="2">
        <v>116</v>
      </c>
      <c r="B117" s="3" t="s">
        <v>56</v>
      </c>
      <c r="C117" s="3" t="s">
        <v>191</v>
      </c>
      <c r="D117" s="4" t="s">
        <v>192</v>
      </c>
      <c r="E117" s="3" t="s">
        <v>15</v>
      </c>
      <c r="F117" s="3" t="s">
        <v>20</v>
      </c>
      <c r="G117" s="3" t="s">
        <v>17</v>
      </c>
      <c r="H117" s="4" t="s">
        <v>21</v>
      </c>
      <c r="I117" s="4" t="s">
        <v>31</v>
      </c>
      <c r="J117" s="5">
        <f>IFERROR(VLOOKUP(K117,Docentes_Lista!$A$2:$C$212,2,FALSE),"")</f>
        <v>0</v>
      </c>
      <c r="K117" s="4"/>
      <c r="L117" s="2">
        <f>IFERROR(VLOOKUP(K117,Docentes_Lista!$A$2:$C$212,3,FALSE),"")</f>
        <v>0</v>
      </c>
    </row>
    <row r="118" spans="1:12" ht="30" customHeight="1">
      <c r="A118" s="2">
        <v>117</v>
      </c>
      <c r="B118" s="3" t="s">
        <v>36</v>
      </c>
      <c r="C118" s="3" t="s">
        <v>193</v>
      </c>
      <c r="D118" s="4" t="s">
        <v>194</v>
      </c>
      <c r="E118" s="3" t="s">
        <v>15</v>
      </c>
      <c r="F118" s="3" t="s">
        <v>33</v>
      </c>
      <c r="G118" s="3" t="s">
        <v>17</v>
      </c>
      <c r="H118" s="4" t="s">
        <v>21</v>
      </c>
      <c r="I118" s="4" t="s">
        <v>19</v>
      </c>
      <c r="J118" s="5">
        <f>IFERROR(VLOOKUP(K118,Docentes_Lista!$A$2:$C$212,2,FALSE),"")</f>
        <v>0</v>
      </c>
      <c r="K118" s="4"/>
      <c r="L118" s="2">
        <f>IFERROR(VLOOKUP(K118,Docentes_Lista!$A$2:$C$212,3,FALSE),"")</f>
        <v>0</v>
      </c>
    </row>
    <row r="119" spans="1:12" ht="30" customHeight="1">
      <c r="A119" s="2">
        <v>118</v>
      </c>
      <c r="B119" s="3" t="s">
        <v>36</v>
      </c>
      <c r="C119" s="3" t="s">
        <v>193</v>
      </c>
      <c r="D119" s="4" t="s">
        <v>194</v>
      </c>
      <c r="E119" s="3" t="s">
        <v>32</v>
      </c>
      <c r="F119" s="3" t="s">
        <v>123</v>
      </c>
      <c r="G119" s="3" t="s">
        <v>47</v>
      </c>
      <c r="H119" s="4" t="s">
        <v>105</v>
      </c>
      <c r="I119" s="4" t="s">
        <v>19</v>
      </c>
      <c r="J119" s="5">
        <f>IFERROR(VLOOKUP(K119,Docentes_Lista!$A$2:$C$212,2,FALSE),"")</f>
        <v>0</v>
      </c>
      <c r="K119" s="4"/>
      <c r="L119" s="2">
        <f>IFERROR(VLOOKUP(K119,Docentes_Lista!$A$2:$C$212,3,FALSE),"")</f>
        <v>0</v>
      </c>
    </row>
    <row r="120" spans="1:12" ht="30" customHeight="1">
      <c r="A120" s="2">
        <v>119</v>
      </c>
      <c r="B120" s="3" t="s">
        <v>36</v>
      </c>
      <c r="C120" s="3" t="s">
        <v>193</v>
      </c>
      <c r="D120" s="4" t="s">
        <v>194</v>
      </c>
      <c r="E120" s="3" t="s">
        <v>35</v>
      </c>
      <c r="F120" s="3" t="s">
        <v>104</v>
      </c>
      <c r="G120" s="3" t="s">
        <v>47</v>
      </c>
      <c r="H120" s="4" t="s">
        <v>105</v>
      </c>
      <c r="I120" s="4" t="s">
        <v>31</v>
      </c>
      <c r="J120" s="5">
        <f>IFERROR(VLOOKUP(K120,Docentes_Lista!$A$2:$C$212,2,FALSE),"")</f>
        <v>0</v>
      </c>
      <c r="K120" s="4"/>
      <c r="L120" s="2">
        <f>IFERROR(VLOOKUP(K120,Docentes_Lista!$A$2:$C$212,3,FALSE),"")</f>
        <v>0</v>
      </c>
    </row>
    <row r="121" spans="1:12" ht="30" customHeight="1">
      <c r="A121" s="2">
        <v>120</v>
      </c>
      <c r="B121" s="3" t="s">
        <v>26</v>
      </c>
      <c r="C121" s="3" t="s">
        <v>195</v>
      </c>
      <c r="D121" s="4" t="s">
        <v>196</v>
      </c>
      <c r="E121" s="3" t="s">
        <v>15</v>
      </c>
      <c r="F121" s="3" t="s">
        <v>20</v>
      </c>
      <c r="G121" s="3" t="s">
        <v>17</v>
      </c>
      <c r="H121" s="4" t="s">
        <v>21</v>
      </c>
      <c r="I121" s="4" t="s">
        <v>31</v>
      </c>
      <c r="J121" s="5">
        <f>IFERROR(VLOOKUP(K121,Docentes_Lista!$A$2:$C$212,2,FALSE),"")</f>
        <v>0</v>
      </c>
      <c r="K121" s="4"/>
      <c r="L121" s="2">
        <f>IFERROR(VLOOKUP(K121,Docentes_Lista!$A$2:$C$212,3,FALSE),"")</f>
        <v>0</v>
      </c>
    </row>
    <row r="122" spans="1:12" ht="30" customHeight="1">
      <c r="A122" s="2">
        <v>121</v>
      </c>
      <c r="B122" s="3" t="s">
        <v>26</v>
      </c>
      <c r="C122" s="3" t="s">
        <v>195</v>
      </c>
      <c r="D122" s="4" t="s">
        <v>196</v>
      </c>
      <c r="E122" s="3" t="s">
        <v>32</v>
      </c>
      <c r="F122" s="3" t="s">
        <v>33</v>
      </c>
      <c r="G122" s="3" t="s">
        <v>17</v>
      </c>
      <c r="H122" s="4" t="s">
        <v>21</v>
      </c>
      <c r="I122" s="4" t="s">
        <v>31</v>
      </c>
      <c r="J122" s="5">
        <f>IFERROR(VLOOKUP(K122,Docentes_Lista!$A$2:$C$212,2,FALSE),"")</f>
        <v>0</v>
      </c>
      <c r="K122" s="4"/>
      <c r="L122" s="2">
        <f>IFERROR(VLOOKUP(K122,Docentes_Lista!$A$2:$C$212,3,FALSE),"")</f>
        <v>0</v>
      </c>
    </row>
    <row r="123" spans="1:12" ht="30" customHeight="1">
      <c r="A123" s="2">
        <v>122</v>
      </c>
      <c r="B123" s="3" t="s">
        <v>26</v>
      </c>
      <c r="C123" s="3" t="s">
        <v>195</v>
      </c>
      <c r="D123" s="4" t="s">
        <v>196</v>
      </c>
      <c r="E123" s="3" t="s">
        <v>35</v>
      </c>
      <c r="F123" s="3" t="s">
        <v>46</v>
      </c>
      <c r="G123" s="3" t="s">
        <v>47</v>
      </c>
      <c r="H123" s="4" t="s">
        <v>48</v>
      </c>
      <c r="I123" s="4" t="s">
        <v>31</v>
      </c>
      <c r="J123" s="5">
        <f>IFERROR(VLOOKUP(K123,Docentes_Lista!$A$2:$C$212,2,FALSE),"")</f>
        <v>0</v>
      </c>
      <c r="K123" s="4"/>
      <c r="L123" s="2">
        <f>IFERROR(VLOOKUP(K123,Docentes_Lista!$A$2:$C$212,3,FALSE),"")</f>
        <v>0</v>
      </c>
    </row>
    <row r="124" spans="1:12" ht="30" customHeight="1">
      <c r="A124" s="2">
        <v>123</v>
      </c>
      <c r="B124" s="3" t="s">
        <v>36</v>
      </c>
      <c r="C124" s="3" t="s">
        <v>197</v>
      </c>
      <c r="D124" s="4" t="s">
        <v>198</v>
      </c>
      <c r="E124" s="3" t="s">
        <v>15</v>
      </c>
      <c r="F124" s="3" t="s">
        <v>20</v>
      </c>
      <c r="G124" s="3" t="s">
        <v>17</v>
      </c>
      <c r="H124" s="4" t="s">
        <v>21</v>
      </c>
      <c r="I124" s="4" t="s">
        <v>19</v>
      </c>
      <c r="J124" s="5">
        <f>IFERROR(VLOOKUP(K124,Docentes_Lista!$A$2:$C$212,2,FALSE),"")</f>
        <v>0</v>
      </c>
      <c r="K124" s="4"/>
      <c r="L124" s="2">
        <f>IFERROR(VLOOKUP(K124,Docentes_Lista!$A$2:$C$212,3,FALSE),"")</f>
        <v>0</v>
      </c>
    </row>
    <row r="125" spans="1:12" ht="30" customHeight="1">
      <c r="A125" s="2">
        <v>124</v>
      </c>
      <c r="B125" s="3" t="s">
        <v>36</v>
      </c>
      <c r="C125" s="3" t="s">
        <v>197</v>
      </c>
      <c r="D125" s="4" t="s">
        <v>198</v>
      </c>
      <c r="E125" s="3" t="s">
        <v>32</v>
      </c>
      <c r="F125" s="3" t="s">
        <v>101</v>
      </c>
      <c r="G125" s="3" t="s">
        <v>47</v>
      </c>
      <c r="H125" s="4" t="s">
        <v>102</v>
      </c>
      <c r="I125" s="4" t="s">
        <v>19</v>
      </c>
      <c r="J125" s="5">
        <f>IFERROR(VLOOKUP(K125,Docentes_Lista!$A$2:$C$212,2,FALSE),"")</f>
        <v>0</v>
      </c>
      <c r="K125" s="4"/>
      <c r="L125" s="2">
        <f>IFERROR(VLOOKUP(K125,Docentes_Lista!$A$2:$C$212,3,FALSE),"")</f>
        <v>0</v>
      </c>
    </row>
    <row r="126" spans="1:12" ht="30" customHeight="1">
      <c r="A126" s="2">
        <v>125</v>
      </c>
      <c r="B126" s="3" t="s">
        <v>36</v>
      </c>
      <c r="C126" s="3" t="s">
        <v>197</v>
      </c>
      <c r="D126" s="4" t="s">
        <v>198</v>
      </c>
      <c r="E126" s="3" t="s">
        <v>35</v>
      </c>
      <c r="F126" s="3" t="s">
        <v>46</v>
      </c>
      <c r="G126" s="3" t="s">
        <v>47</v>
      </c>
      <c r="H126" s="4" t="s">
        <v>48</v>
      </c>
      <c r="I126" s="4" t="s">
        <v>19</v>
      </c>
      <c r="J126" s="5">
        <f>IFERROR(VLOOKUP(K126,Docentes_Lista!$A$2:$C$212,2,FALSE),"")</f>
        <v>0</v>
      </c>
      <c r="K126" s="4"/>
      <c r="L126" s="2">
        <f>IFERROR(VLOOKUP(K126,Docentes_Lista!$A$2:$C$212,3,FALSE),"")</f>
        <v>0</v>
      </c>
    </row>
    <row r="127" spans="1:12" ht="30" customHeight="1">
      <c r="A127" s="2">
        <v>126</v>
      </c>
      <c r="B127" s="3" t="s">
        <v>12</v>
      </c>
      <c r="C127" s="3" t="s">
        <v>199</v>
      </c>
      <c r="D127" s="4" t="s">
        <v>200</v>
      </c>
      <c r="E127" s="3" t="s">
        <v>15</v>
      </c>
      <c r="F127" s="3" t="s">
        <v>33</v>
      </c>
      <c r="G127" s="3" t="s">
        <v>17</v>
      </c>
      <c r="H127" s="4" t="s">
        <v>201</v>
      </c>
      <c r="I127" s="4" t="s">
        <v>19</v>
      </c>
      <c r="J127" s="5">
        <f>IFERROR(VLOOKUP(K127,Docentes_Lista!$A$2:$C$212,2,FALSE),"")</f>
        <v>0</v>
      </c>
      <c r="K127" s="4"/>
      <c r="L127" s="2">
        <f>IFERROR(VLOOKUP(K127,Docentes_Lista!$A$2:$C$212,3,FALSE),"")</f>
        <v>0</v>
      </c>
    </row>
    <row r="128" spans="1:12" ht="30" customHeight="1">
      <c r="A128" s="2">
        <v>127</v>
      </c>
      <c r="B128" s="3" t="s">
        <v>12</v>
      </c>
      <c r="C128" s="3" t="s">
        <v>202</v>
      </c>
      <c r="D128" s="4" t="s">
        <v>203</v>
      </c>
      <c r="E128" s="3" t="s">
        <v>15</v>
      </c>
      <c r="F128" s="3" t="s">
        <v>20</v>
      </c>
      <c r="G128" s="3" t="s">
        <v>17</v>
      </c>
      <c r="H128" s="4" t="s">
        <v>21</v>
      </c>
      <c r="I128" s="4" t="s">
        <v>19</v>
      </c>
      <c r="J128" s="5">
        <f>IFERROR(VLOOKUP(K128,Docentes_Lista!$A$2:$C$212,2,FALSE),"")</f>
        <v>0</v>
      </c>
      <c r="K128" s="4"/>
      <c r="L128" s="2">
        <f>IFERROR(VLOOKUP(K128,Docentes_Lista!$A$2:$C$212,3,FALSE),"")</f>
        <v>0</v>
      </c>
    </row>
    <row r="129" spans="1:12" ht="30" customHeight="1">
      <c r="A129" s="2">
        <v>128</v>
      </c>
      <c r="B129" s="3" t="s">
        <v>26</v>
      </c>
      <c r="C129" s="3" t="s">
        <v>204</v>
      </c>
      <c r="D129" s="4" t="s">
        <v>205</v>
      </c>
      <c r="E129" s="3" t="s">
        <v>15</v>
      </c>
      <c r="F129" s="3" t="s">
        <v>43</v>
      </c>
      <c r="G129" s="3" t="s">
        <v>17</v>
      </c>
      <c r="H129" s="4" t="s">
        <v>21</v>
      </c>
      <c r="I129" s="4" t="s">
        <v>31</v>
      </c>
      <c r="J129" s="5">
        <f>IFERROR(VLOOKUP(K129,Docentes_Lista!$A$2:$C$212,2,FALSE),"")</f>
        <v>0</v>
      </c>
      <c r="K129" s="4"/>
      <c r="L129" s="2">
        <f>IFERROR(VLOOKUP(K129,Docentes_Lista!$A$2:$C$212,3,FALSE),"")</f>
        <v>0</v>
      </c>
    </row>
    <row r="130" spans="1:12" ht="30" customHeight="1">
      <c r="A130" s="2">
        <v>129</v>
      </c>
      <c r="B130" s="3" t="s">
        <v>26</v>
      </c>
      <c r="C130" s="3" t="s">
        <v>204</v>
      </c>
      <c r="D130" s="4" t="s">
        <v>205</v>
      </c>
      <c r="E130" s="3" t="s">
        <v>32</v>
      </c>
      <c r="F130" s="3" t="s">
        <v>33</v>
      </c>
      <c r="G130" s="3" t="s">
        <v>17</v>
      </c>
      <c r="H130" s="4" t="s">
        <v>21</v>
      </c>
      <c r="I130" s="4" t="s">
        <v>19</v>
      </c>
      <c r="J130" s="5">
        <f>IFERROR(VLOOKUP(K130,Docentes_Lista!$A$2:$C$212,2,FALSE),"")</f>
        <v>0</v>
      </c>
      <c r="K130" s="4"/>
      <c r="L130" s="2">
        <f>IFERROR(VLOOKUP(K130,Docentes_Lista!$A$2:$C$212,3,FALSE),"")</f>
        <v>0</v>
      </c>
    </row>
    <row r="131" spans="1:12" ht="30" customHeight="1">
      <c r="A131" s="2">
        <v>130</v>
      </c>
      <c r="B131" s="3" t="s">
        <v>12</v>
      </c>
      <c r="C131" s="3" t="s">
        <v>206</v>
      </c>
      <c r="D131" s="4" t="s">
        <v>207</v>
      </c>
      <c r="E131" s="3" t="s">
        <v>32</v>
      </c>
      <c r="F131" s="3" t="s">
        <v>33</v>
      </c>
      <c r="G131" s="3" t="s">
        <v>17</v>
      </c>
      <c r="H131" s="4" t="s">
        <v>21</v>
      </c>
      <c r="I131" s="4" t="s">
        <v>31</v>
      </c>
      <c r="J131" s="5">
        <f>IFERROR(VLOOKUP(K131,Docentes_Lista!$A$2:$C$212,2,FALSE),"")</f>
        <v>0</v>
      </c>
      <c r="K131" s="4"/>
      <c r="L131" s="2">
        <f>IFERROR(VLOOKUP(K131,Docentes_Lista!$A$2:$C$212,3,FALSE),"")</f>
        <v>0</v>
      </c>
    </row>
    <row r="132" spans="1:12" ht="30" customHeight="1">
      <c r="A132" s="2">
        <v>131</v>
      </c>
      <c r="B132" s="3" t="s">
        <v>12</v>
      </c>
      <c r="C132" s="3" t="s">
        <v>206</v>
      </c>
      <c r="D132" s="4" t="s">
        <v>207</v>
      </c>
      <c r="E132" s="3" t="s">
        <v>15</v>
      </c>
      <c r="F132" s="3" t="s">
        <v>46</v>
      </c>
      <c r="G132" s="3" t="s">
        <v>47</v>
      </c>
      <c r="H132" s="4" t="s">
        <v>48</v>
      </c>
      <c r="I132" s="4" t="s">
        <v>31</v>
      </c>
      <c r="J132" s="5">
        <f>IFERROR(VLOOKUP(K132,Docentes_Lista!$A$2:$C$212,2,FALSE),"")</f>
        <v>0</v>
      </c>
      <c r="K132" s="4"/>
      <c r="L132" s="2">
        <f>IFERROR(VLOOKUP(K132,Docentes_Lista!$A$2:$C$212,3,FALSE),"")</f>
        <v>0</v>
      </c>
    </row>
    <row r="133" spans="1:12" ht="30" customHeight="1">
      <c r="A133" s="2">
        <v>132</v>
      </c>
      <c r="B133" s="3" t="s">
        <v>36</v>
      </c>
      <c r="C133" s="3" t="s">
        <v>208</v>
      </c>
      <c r="D133" s="4" t="s">
        <v>209</v>
      </c>
      <c r="E133" s="3" t="s">
        <v>15</v>
      </c>
      <c r="F133" s="3" t="s">
        <v>20</v>
      </c>
      <c r="G133" s="3" t="s">
        <v>17</v>
      </c>
      <c r="H133" s="4" t="s">
        <v>54</v>
      </c>
      <c r="I133" s="4" t="s">
        <v>31</v>
      </c>
      <c r="J133" s="5">
        <f>IFERROR(VLOOKUP(K133,Docentes_Lista!$A$2:$C$212,2,FALSE),"")</f>
        <v>0</v>
      </c>
      <c r="K133" s="4"/>
      <c r="L133" s="2">
        <f>IFERROR(VLOOKUP(K133,Docentes_Lista!$A$2:$C$212,3,FALSE),"")</f>
        <v>0</v>
      </c>
    </row>
    <row r="134" spans="1:12" ht="30" customHeight="1">
      <c r="A134" s="2">
        <v>133</v>
      </c>
      <c r="B134" s="3" t="s">
        <v>12</v>
      </c>
      <c r="C134" s="3" t="s">
        <v>210</v>
      </c>
      <c r="D134" s="4" t="s">
        <v>40</v>
      </c>
      <c r="E134" s="3" t="s">
        <v>15</v>
      </c>
      <c r="F134" s="3" t="s">
        <v>20</v>
      </c>
      <c r="G134" s="3" t="s">
        <v>17</v>
      </c>
      <c r="H134" s="4" t="s">
        <v>54</v>
      </c>
      <c r="I134" s="4" t="s">
        <v>31</v>
      </c>
      <c r="J134" s="5">
        <f>IFERROR(VLOOKUP(K134,Docentes_Lista!$A$2:$C$212,2,FALSE),"")</f>
        <v>0</v>
      </c>
      <c r="K134" s="4"/>
      <c r="L134" s="2">
        <f>IFERROR(VLOOKUP(K134,Docentes_Lista!$A$2:$C$212,3,FALSE),"")</f>
        <v>0</v>
      </c>
    </row>
    <row r="135" spans="1:12" ht="30" customHeight="1">
      <c r="A135" s="2">
        <v>134</v>
      </c>
      <c r="B135" s="3" t="s">
        <v>12</v>
      </c>
      <c r="C135" s="3" t="s">
        <v>211</v>
      </c>
      <c r="D135" s="4" t="s">
        <v>60</v>
      </c>
      <c r="E135" s="3" t="s">
        <v>15</v>
      </c>
      <c r="F135" s="3" t="s">
        <v>20</v>
      </c>
      <c r="G135" s="3" t="s">
        <v>17</v>
      </c>
      <c r="H135" s="4" t="s">
        <v>54</v>
      </c>
      <c r="I135" s="4" t="s">
        <v>19</v>
      </c>
      <c r="J135" s="5">
        <f>IFERROR(VLOOKUP(K135,Docentes_Lista!$A$2:$C$212,2,FALSE),"")</f>
        <v>0</v>
      </c>
      <c r="K135" s="4"/>
      <c r="L135" s="2">
        <f>IFERROR(VLOOKUP(K135,Docentes_Lista!$A$2:$C$212,3,FALSE),"")</f>
        <v>0</v>
      </c>
    </row>
    <row r="136" spans="1:12" ht="30" customHeight="1">
      <c r="A136" s="2">
        <v>135</v>
      </c>
      <c r="B136" s="3" t="s">
        <v>12</v>
      </c>
      <c r="C136" s="3" t="s">
        <v>211</v>
      </c>
      <c r="D136" s="4" t="s">
        <v>60</v>
      </c>
      <c r="E136" s="3" t="s">
        <v>32</v>
      </c>
      <c r="F136" s="3" t="s">
        <v>101</v>
      </c>
      <c r="G136" s="3" t="s">
        <v>47</v>
      </c>
      <c r="H136" s="4" t="s">
        <v>102</v>
      </c>
      <c r="I136" s="4" t="s">
        <v>19</v>
      </c>
      <c r="J136" s="5">
        <f>IFERROR(VLOOKUP(K136,Docentes_Lista!$A$2:$C$212,2,FALSE),"")</f>
        <v>0</v>
      </c>
      <c r="K136" s="4"/>
      <c r="L136" s="2">
        <f>IFERROR(VLOOKUP(K136,Docentes_Lista!$A$2:$C$212,3,FALSE),"")</f>
        <v>0</v>
      </c>
    </row>
    <row r="137" spans="1:12" ht="30" customHeight="1">
      <c r="A137" s="2">
        <v>136</v>
      </c>
      <c r="B137" s="3" t="s">
        <v>12</v>
      </c>
      <c r="C137" s="3" t="s">
        <v>211</v>
      </c>
      <c r="D137" s="4" t="s">
        <v>60</v>
      </c>
      <c r="E137" s="3" t="s">
        <v>35</v>
      </c>
      <c r="F137" s="3" t="s">
        <v>212</v>
      </c>
      <c r="G137" s="3" t="s">
        <v>47</v>
      </c>
      <c r="H137" s="4" t="s">
        <v>105</v>
      </c>
      <c r="I137" s="4" t="s">
        <v>19</v>
      </c>
      <c r="J137" s="5">
        <f>IFERROR(VLOOKUP(K137,Docentes_Lista!$A$2:$C$212,2,FALSE),"")</f>
        <v>0</v>
      </c>
      <c r="K137" s="4"/>
      <c r="L137" s="2">
        <f>IFERROR(VLOOKUP(K137,Docentes_Lista!$A$2:$C$212,3,FALSE),"")</f>
        <v>0</v>
      </c>
    </row>
    <row r="138" spans="1:12" ht="30" customHeight="1">
      <c r="A138" s="2">
        <v>137</v>
      </c>
      <c r="B138" s="3" t="s">
        <v>12</v>
      </c>
      <c r="C138" s="3" t="s">
        <v>211</v>
      </c>
      <c r="D138" s="4" t="s">
        <v>60</v>
      </c>
      <c r="E138" s="3" t="s">
        <v>45</v>
      </c>
      <c r="F138" s="3" t="s">
        <v>104</v>
      </c>
      <c r="G138" s="3" t="s">
        <v>47</v>
      </c>
      <c r="H138" s="4" t="s">
        <v>105</v>
      </c>
      <c r="I138" s="4" t="s">
        <v>19</v>
      </c>
      <c r="J138" s="5">
        <f>IFERROR(VLOOKUP(K138,Docentes_Lista!$A$2:$C$212,2,FALSE),"")</f>
        <v>0</v>
      </c>
      <c r="K138" s="4"/>
      <c r="L138" s="2">
        <f>IFERROR(VLOOKUP(K138,Docentes_Lista!$A$2:$C$212,3,FALSE),"")</f>
        <v>0</v>
      </c>
    </row>
    <row r="139" spans="1:12" ht="30" customHeight="1">
      <c r="A139" s="2">
        <v>138</v>
      </c>
      <c r="B139" s="3" t="s">
        <v>12</v>
      </c>
      <c r="C139" s="3" t="s">
        <v>213</v>
      </c>
      <c r="D139" s="4" t="s">
        <v>73</v>
      </c>
      <c r="E139" s="3" t="s">
        <v>15</v>
      </c>
      <c r="F139" s="3" t="s">
        <v>20</v>
      </c>
      <c r="G139" s="3" t="s">
        <v>17</v>
      </c>
      <c r="H139" s="4" t="s">
        <v>54</v>
      </c>
      <c r="I139" s="4" t="s">
        <v>31</v>
      </c>
      <c r="J139" s="5">
        <f>IFERROR(VLOOKUP(K139,Docentes_Lista!$A$2:$C$212,2,FALSE),"")</f>
        <v>0</v>
      </c>
      <c r="K139" s="4"/>
      <c r="L139" s="2">
        <f>IFERROR(VLOOKUP(K139,Docentes_Lista!$A$2:$C$212,3,FALSE),"")</f>
        <v>0</v>
      </c>
    </row>
    <row r="140" spans="1:12" ht="30" customHeight="1">
      <c r="A140" s="2">
        <v>139</v>
      </c>
      <c r="B140" s="3" t="s">
        <v>36</v>
      </c>
      <c r="C140" s="3" t="s">
        <v>214</v>
      </c>
      <c r="D140" s="4" t="s">
        <v>215</v>
      </c>
      <c r="E140" s="3" t="s">
        <v>15</v>
      </c>
      <c r="F140" s="3" t="s">
        <v>20</v>
      </c>
      <c r="G140" s="3" t="s">
        <v>17</v>
      </c>
      <c r="H140" s="4" t="s">
        <v>54</v>
      </c>
      <c r="I140" s="4" t="s">
        <v>31</v>
      </c>
      <c r="J140" s="5">
        <f>IFERROR(VLOOKUP(K140,Docentes_Lista!$A$2:$C$212,2,FALSE),"")</f>
        <v>0</v>
      </c>
      <c r="K140" s="4"/>
      <c r="L140" s="2">
        <f>IFERROR(VLOOKUP(K140,Docentes_Lista!$A$2:$C$212,3,FALSE),"")</f>
        <v>0</v>
      </c>
    </row>
    <row r="141" spans="1:12" ht="30" customHeight="1">
      <c r="A141" s="2">
        <v>140</v>
      </c>
      <c r="B141" s="3" t="s">
        <v>56</v>
      </c>
      <c r="C141" s="3" t="s">
        <v>216</v>
      </c>
      <c r="D141" s="4" t="s">
        <v>217</v>
      </c>
      <c r="E141" s="3" t="s">
        <v>15</v>
      </c>
      <c r="F141" s="3" t="s">
        <v>20</v>
      </c>
      <c r="G141" s="3" t="s">
        <v>17</v>
      </c>
      <c r="H141" s="4" t="s">
        <v>54</v>
      </c>
      <c r="I141" s="4" t="s">
        <v>31</v>
      </c>
      <c r="J141" s="5">
        <f>IFERROR(VLOOKUP(K141,Docentes_Lista!$A$2:$C$212,2,FALSE),"")</f>
        <v>0</v>
      </c>
      <c r="K141" s="4"/>
      <c r="L141" s="2">
        <f>IFERROR(VLOOKUP(K141,Docentes_Lista!$A$2:$C$212,3,FALSE),"")</f>
        <v>0</v>
      </c>
    </row>
    <row r="142" spans="1:12" ht="30" customHeight="1">
      <c r="A142" s="2">
        <v>141</v>
      </c>
      <c r="B142" s="3" t="s">
        <v>26</v>
      </c>
      <c r="C142" s="3" t="s">
        <v>218</v>
      </c>
      <c r="D142" s="4" t="s">
        <v>135</v>
      </c>
      <c r="E142" s="3" t="s">
        <v>15</v>
      </c>
      <c r="F142" s="3" t="s">
        <v>20</v>
      </c>
      <c r="G142" s="3" t="s">
        <v>17</v>
      </c>
      <c r="H142" s="4" t="s">
        <v>54</v>
      </c>
      <c r="I142" s="4" t="s">
        <v>31</v>
      </c>
      <c r="J142" s="5">
        <f>IFERROR(VLOOKUP(K142,Docentes_Lista!$A$2:$C$212,2,FALSE),"")</f>
        <v>0</v>
      </c>
      <c r="K142" s="4"/>
      <c r="L142" s="2">
        <f>IFERROR(VLOOKUP(K142,Docentes_Lista!$A$2:$C$212,3,FALSE),"")</f>
        <v>0</v>
      </c>
    </row>
    <row r="143" spans="1:12" ht="30" customHeight="1">
      <c r="A143" s="2">
        <v>142</v>
      </c>
      <c r="B143" s="3" t="s">
        <v>26</v>
      </c>
      <c r="C143" s="3" t="s">
        <v>218</v>
      </c>
      <c r="D143" s="4" t="s">
        <v>135</v>
      </c>
      <c r="E143" s="3" t="s">
        <v>32</v>
      </c>
      <c r="F143" s="3" t="s">
        <v>46</v>
      </c>
      <c r="G143" s="3" t="s">
        <v>47</v>
      </c>
      <c r="H143" s="4" t="s">
        <v>48</v>
      </c>
      <c r="I143" s="4" t="s">
        <v>31</v>
      </c>
      <c r="J143" s="5">
        <f>IFERROR(VLOOKUP(K143,Docentes_Lista!$A$2:$C$212,2,FALSE),"")</f>
        <v>0</v>
      </c>
      <c r="K143" s="4"/>
      <c r="L143" s="2">
        <f>IFERROR(VLOOKUP(K143,Docentes_Lista!$A$2:$C$212,3,FALSE),"")</f>
        <v>0</v>
      </c>
    </row>
    <row r="144" spans="1:12" ht="30" customHeight="1">
      <c r="A144" s="2">
        <v>143</v>
      </c>
      <c r="B144" s="3" t="s">
        <v>12</v>
      </c>
      <c r="C144" s="3" t="s">
        <v>219</v>
      </c>
      <c r="D144" s="4" t="s">
        <v>141</v>
      </c>
      <c r="E144" s="3" t="s">
        <v>15</v>
      </c>
      <c r="F144" s="3" t="s">
        <v>20</v>
      </c>
      <c r="G144" s="3" t="s">
        <v>17</v>
      </c>
      <c r="H144" s="4" t="s">
        <v>54</v>
      </c>
      <c r="I144" s="4" t="s">
        <v>31</v>
      </c>
      <c r="J144" s="5">
        <f>IFERROR(VLOOKUP(K144,Docentes_Lista!$A$2:$C$212,2,FALSE),"")</f>
        <v>0</v>
      </c>
      <c r="K144" s="4"/>
      <c r="L144" s="2">
        <f>IFERROR(VLOOKUP(K144,Docentes_Lista!$A$2:$C$212,3,FALSE),"")</f>
        <v>0</v>
      </c>
    </row>
    <row r="145" spans="1:12" ht="30" customHeight="1">
      <c r="A145" s="2">
        <v>144</v>
      </c>
      <c r="B145" s="3" t="s">
        <v>12</v>
      </c>
      <c r="C145" s="3" t="s">
        <v>219</v>
      </c>
      <c r="D145" s="4" t="s">
        <v>141</v>
      </c>
      <c r="E145" s="3" t="s">
        <v>32</v>
      </c>
      <c r="F145" s="3" t="s">
        <v>46</v>
      </c>
      <c r="G145" s="3" t="s">
        <v>47</v>
      </c>
      <c r="H145" s="4" t="s">
        <v>48</v>
      </c>
      <c r="I145" s="4" t="s">
        <v>31</v>
      </c>
      <c r="J145" s="5">
        <f>IFERROR(VLOOKUP(K145,Docentes_Lista!$A$2:$C$212,2,FALSE),"")</f>
        <v>0</v>
      </c>
      <c r="K145" s="4"/>
      <c r="L145" s="2">
        <f>IFERROR(VLOOKUP(K145,Docentes_Lista!$A$2:$C$212,3,FALSE),"")</f>
        <v>0</v>
      </c>
    </row>
    <row r="146" spans="1:12" ht="30" customHeight="1">
      <c r="A146" s="2">
        <v>145</v>
      </c>
      <c r="B146" s="3" t="s">
        <v>36</v>
      </c>
      <c r="C146" s="3" t="s">
        <v>220</v>
      </c>
      <c r="D146" s="4" t="s">
        <v>145</v>
      </c>
      <c r="E146" s="3" t="s">
        <v>15</v>
      </c>
      <c r="F146" s="3" t="s">
        <v>20</v>
      </c>
      <c r="G146" s="3" t="s">
        <v>17</v>
      </c>
      <c r="H146" s="4" t="s">
        <v>54</v>
      </c>
      <c r="I146" s="4" t="s">
        <v>31</v>
      </c>
      <c r="J146" s="5">
        <f>IFERROR(VLOOKUP(K146,Docentes_Lista!$A$2:$C$212,2,FALSE),"")</f>
        <v>0</v>
      </c>
      <c r="K146" s="4"/>
      <c r="L146" s="2">
        <f>IFERROR(VLOOKUP(K146,Docentes_Lista!$A$2:$C$212,3,FALSE),"")</f>
        <v>0</v>
      </c>
    </row>
    <row r="147" spans="1:12" ht="30" customHeight="1">
      <c r="A147" s="2">
        <v>146</v>
      </c>
      <c r="B147" s="3" t="s">
        <v>12</v>
      </c>
      <c r="C147" s="3" t="s">
        <v>221</v>
      </c>
      <c r="D147" s="4" t="s">
        <v>222</v>
      </c>
      <c r="E147" s="3" t="s">
        <v>15</v>
      </c>
      <c r="F147" s="3" t="s">
        <v>20</v>
      </c>
      <c r="G147" s="3" t="s">
        <v>17</v>
      </c>
      <c r="H147" s="4" t="s">
        <v>223</v>
      </c>
      <c r="I147" s="4" t="s">
        <v>19</v>
      </c>
      <c r="J147" s="5">
        <f>IFERROR(VLOOKUP(K147,Docentes_Lista!$A$2:$C$212,2,FALSE),"")</f>
        <v>0</v>
      </c>
      <c r="K147" s="4"/>
      <c r="L147" s="2">
        <f>IFERROR(VLOOKUP(K147,Docentes_Lista!$A$2:$C$212,3,FALSE),"")</f>
        <v>0</v>
      </c>
    </row>
    <row r="148" spans="1:12" ht="30" customHeight="1">
      <c r="A148" s="2">
        <v>147</v>
      </c>
      <c r="B148" s="3" t="s">
        <v>12</v>
      </c>
      <c r="C148" s="3" t="s">
        <v>224</v>
      </c>
      <c r="D148" s="4" t="s">
        <v>225</v>
      </c>
      <c r="E148" s="3" t="s">
        <v>15</v>
      </c>
      <c r="F148" s="3" t="s">
        <v>101</v>
      </c>
      <c r="G148" s="3" t="s">
        <v>47</v>
      </c>
      <c r="H148" s="4" t="s">
        <v>102</v>
      </c>
      <c r="I148" s="4" t="s">
        <v>19</v>
      </c>
      <c r="J148" s="5">
        <f>IFERROR(VLOOKUP(K148,Docentes_Lista!$A$2:$C$212,2,FALSE),"")</f>
        <v>0</v>
      </c>
      <c r="K148" s="4"/>
      <c r="L148" s="2">
        <f>IFERROR(VLOOKUP(K148,Docentes_Lista!$A$2:$C$212,3,FALSE),"")</f>
        <v>0</v>
      </c>
    </row>
    <row r="149" spans="1:12" ht="30" customHeight="1">
      <c r="A149" s="2">
        <v>148</v>
      </c>
      <c r="B149" s="3" t="s">
        <v>56</v>
      </c>
      <c r="C149" s="3" t="s">
        <v>226</v>
      </c>
      <c r="D149" s="4" t="s">
        <v>227</v>
      </c>
      <c r="E149" s="3" t="s">
        <v>15</v>
      </c>
      <c r="F149" s="3" t="s">
        <v>101</v>
      </c>
      <c r="G149" s="3" t="s">
        <v>47</v>
      </c>
      <c r="H149" s="4" t="s">
        <v>102</v>
      </c>
      <c r="I149" s="4" t="s">
        <v>31</v>
      </c>
      <c r="J149" s="5">
        <f>IFERROR(VLOOKUP(K149,Docentes_Lista!$A$2:$C$212,2,FALSE),"")</f>
        <v>0</v>
      </c>
      <c r="K149" s="4"/>
      <c r="L149" s="2">
        <f>IFERROR(VLOOKUP(K149,Docentes_Lista!$A$2:$C$212,3,FALSE),"")</f>
        <v>0</v>
      </c>
    </row>
    <row r="150" spans="1:12" ht="30" customHeight="1">
      <c r="A150" s="2">
        <v>149</v>
      </c>
      <c r="B150" s="3" t="s">
        <v>56</v>
      </c>
      <c r="C150" s="3" t="s">
        <v>228</v>
      </c>
      <c r="D150" s="4" t="s">
        <v>229</v>
      </c>
      <c r="E150" s="3" t="s">
        <v>15</v>
      </c>
      <c r="F150" s="3" t="s">
        <v>123</v>
      </c>
      <c r="G150" s="3" t="s">
        <v>47</v>
      </c>
      <c r="H150" s="4" t="s">
        <v>105</v>
      </c>
      <c r="I150" s="4" t="s">
        <v>31</v>
      </c>
      <c r="J150" s="5">
        <f>IFERROR(VLOOKUP(K150,Docentes_Lista!$A$2:$C$212,2,FALSE),"")</f>
        <v>0</v>
      </c>
      <c r="K150" s="4"/>
      <c r="L150" s="2">
        <f>IFERROR(VLOOKUP(K150,Docentes_Lista!$A$2:$C$212,3,FALSE),"")</f>
        <v>0</v>
      </c>
    </row>
    <row r="151" spans="1:12" ht="30" customHeight="1">
      <c r="A151" s="2">
        <v>150</v>
      </c>
      <c r="B151" s="3" t="s">
        <v>56</v>
      </c>
      <c r="C151" s="3" t="s">
        <v>230</v>
      </c>
      <c r="D151" s="4" t="s">
        <v>231</v>
      </c>
      <c r="E151" s="3" t="s">
        <v>15</v>
      </c>
      <c r="F151" s="3" t="s">
        <v>123</v>
      </c>
      <c r="G151" s="3" t="s">
        <v>47</v>
      </c>
      <c r="H151" s="4" t="s">
        <v>105</v>
      </c>
      <c r="I151" s="4" t="s">
        <v>31</v>
      </c>
      <c r="J151" s="5">
        <f>IFERROR(VLOOKUP(K151,Docentes_Lista!$A$2:$C$212,2,FALSE),"")</f>
        <v>0</v>
      </c>
      <c r="K151" s="4"/>
      <c r="L151" s="2">
        <f>IFERROR(VLOOKUP(K151,Docentes_Lista!$A$2:$C$212,3,FALSE),"")</f>
        <v>0</v>
      </c>
    </row>
    <row r="152" spans="1:12" ht="30" customHeight="1">
      <c r="A152" s="2">
        <v>151</v>
      </c>
      <c r="B152" s="3" t="s">
        <v>56</v>
      </c>
      <c r="C152" s="3" t="s">
        <v>232</v>
      </c>
      <c r="D152" s="4" t="s">
        <v>233</v>
      </c>
      <c r="E152" s="3" t="s">
        <v>15</v>
      </c>
      <c r="F152" s="3" t="s">
        <v>123</v>
      </c>
      <c r="G152" s="3" t="s">
        <v>47</v>
      </c>
      <c r="H152" s="4" t="s">
        <v>105</v>
      </c>
      <c r="I152" s="4" t="s">
        <v>31</v>
      </c>
      <c r="J152" s="5">
        <f>IFERROR(VLOOKUP(K152,Docentes_Lista!$A$2:$C$212,2,FALSE),"")</f>
        <v>0</v>
      </c>
      <c r="K152" s="4"/>
      <c r="L152" s="2">
        <f>IFERROR(VLOOKUP(K152,Docentes_Lista!$A$2:$C$212,3,FALSE),"")</f>
        <v>0</v>
      </c>
    </row>
    <row r="153" spans="1:12" ht="30" customHeight="1">
      <c r="A153" s="2">
        <v>152</v>
      </c>
      <c r="B153" s="3" t="s">
        <v>36</v>
      </c>
      <c r="C153" s="3" t="s">
        <v>234</v>
      </c>
      <c r="D153" s="4" t="s">
        <v>235</v>
      </c>
      <c r="E153" s="3" t="s">
        <v>15</v>
      </c>
      <c r="F153" s="3" t="s">
        <v>123</v>
      </c>
      <c r="G153" s="3" t="s">
        <v>47</v>
      </c>
      <c r="H153" s="4" t="s">
        <v>105</v>
      </c>
      <c r="I153" s="4" t="s">
        <v>31</v>
      </c>
      <c r="J153" s="5">
        <f>IFERROR(VLOOKUP(K153,Docentes_Lista!$A$2:$C$212,2,FALSE),"")</f>
        <v>0</v>
      </c>
      <c r="K153" s="4"/>
      <c r="L153" s="2">
        <f>IFERROR(VLOOKUP(K153,Docentes_Lista!$A$2:$C$212,3,FALSE),"")</f>
        <v>0</v>
      </c>
    </row>
    <row r="154" spans="1:12" ht="30" customHeight="1">
      <c r="A154" s="2">
        <v>153</v>
      </c>
      <c r="B154" s="3" t="s">
        <v>26</v>
      </c>
      <c r="C154" s="3" t="s">
        <v>236</v>
      </c>
      <c r="D154" s="4" t="s">
        <v>116</v>
      </c>
      <c r="E154" s="3" t="s">
        <v>15</v>
      </c>
      <c r="F154" s="3" t="s">
        <v>123</v>
      </c>
      <c r="G154" s="3" t="s">
        <v>47</v>
      </c>
      <c r="H154" s="4" t="s">
        <v>105</v>
      </c>
      <c r="I154" s="4" t="s">
        <v>31</v>
      </c>
      <c r="J154" s="5">
        <f>IFERROR(VLOOKUP(K154,Docentes_Lista!$A$2:$C$212,2,FALSE),"")</f>
        <v>0</v>
      </c>
      <c r="K154" s="4"/>
      <c r="L154" s="2">
        <f>IFERROR(VLOOKUP(K154,Docentes_Lista!$A$2:$C$212,3,FALSE),"")</f>
        <v>0</v>
      </c>
    </row>
    <row r="155" spans="1:12" ht="30" customHeight="1">
      <c r="A155" s="2">
        <v>154</v>
      </c>
      <c r="B155" s="3" t="s">
        <v>36</v>
      </c>
      <c r="C155" s="3" t="s">
        <v>237</v>
      </c>
      <c r="D155" s="4" t="s">
        <v>238</v>
      </c>
      <c r="E155" s="3" t="s">
        <v>32</v>
      </c>
      <c r="F155" s="3" t="s">
        <v>123</v>
      </c>
      <c r="G155" s="3" t="s">
        <v>47</v>
      </c>
      <c r="H155" s="4" t="s">
        <v>105</v>
      </c>
      <c r="I155" s="4" t="s">
        <v>31</v>
      </c>
      <c r="J155" s="5">
        <f>IFERROR(VLOOKUP(K155,Docentes_Lista!$A$2:$C$212,2,FALSE),"")</f>
        <v>0</v>
      </c>
      <c r="K155" s="4"/>
      <c r="L155" s="2">
        <f>IFERROR(VLOOKUP(K155,Docentes_Lista!$A$2:$C$212,3,FALSE),"")</f>
        <v>0</v>
      </c>
    </row>
    <row r="156" spans="1:12" ht="30" customHeight="1">
      <c r="A156" s="2">
        <v>155</v>
      </c>
      <c r="B156" s="3" t="s">
        <v>36</v>
      </c>
      <c r="C156" s="3" t="s">
        <v>237</v>
      </c>
      <c r="D156" s="4" t="s">
        <v>238</v>
      </c>
      <c r="E156" s="3" t="s">
        <v>35</v>
      </c>
      <c r="F156" s="3" t="s">
        <v>104</v>
      </c>
      <c r="G156" s="3" t="s">
        <v>47</v>
      </c>
      <c r="H156" s="4" t="s">
        <v>105</v>
      </c>
      <c r="I156" s="4" t="s">
        <v>31</v>
      </c>
      <c r="J156" s="5">
        <f>IFERROR(VLOOKUP(K156,Docentes_Lista!$A$2:$C$212,2,FALSE),"")</f>
        <v>0</v>
      </c>
      <c r="K156" s="4"/>
      <c r="L156" s="2">
        <f>IFERROR(VLOOKUP(K156,Docentes_Lista!$A$2:$C$212,3,FALSE),"")</f>
        <v>0</v>
      </c>
    </row>
    <row r="157" spans="1:12" ht="30" customHeight="1">
      <c r="A157" s="2">
        <v>156</v>
      </c>
      <c r="B157" s="3" t="s">
        <v>36</v>
      </c>
      <c r="C157" s="3" t="s">
        <v>239</v>
      </c>
      <c r="D157" s="4" t="s">
        <v>240</v>
      </c>
      <c r="E157" s="3" t="s">
        <v>15</v>
      </c>
      <c r="F157" s="3" t="s">
        <v>46</v>
      </c>
      <c r="G157" s="3" t="s">
        <v>47</v>
      </c>
      <c r="H157" s="4" t="s">
        <v>105</v>
      </c>
      <c r="I157" s="4" t="s">
        <v>31</v>
      </c>
      <c r="J157" s="5">
        <f>IFERROR(VLOOKUP(K157,Docentes_Lista!$A$2:$C$212,2,FALSE),"")</f>
        <v>0</v>
      </c>
      <c r="K157" s="4"/>
      <c r="L157" s="2">
        <f>IFERROR(VLOOKUP(K157,Docentes_Lista!$A$2:$C$212,3,FALSE),"")</f>
        <v>0</v>
      </c>
    </row>
    <row r="158" spans="1:12" ht="30" customHeight="1">
      <c r="A158" s="2">
        <v>157</v>
      </c>
      <c r="B158" s="3" t="s">
        <v>36</v>
      </c>
      <c r="C158" s="3" t="s">
        <v>241</v>
      </c>
      <c r="D158" s="4" t="s">
        <v>242</v>
      </c>
      <c r="E158" s="3" t="s">
        <v>15</v>
      </c>
      <c r="F158" s="3" t="s">
        <v>123</v>
      </c>
      <c r="G158" s="3" t="s">
        <v>47</v>
      </c>
      <c r="H158" s="4" t="s">
        <v>105</v>
      </c>
      <c r="I158" s="4" t="s">
        <v>31</v>
      </c>
      <c r="J158" s="5">
        <f>IFERROR(VLOOKUP(K158,Docentes_Lista!$A$2:$C$212,2,FALSE),"")</f>
        <v>0</v>
      </c>
      <c r="K158" s="4"/>
      <c r="L158" s="2">
        <f>IFERROR(VLOOKUP(K158,Docentes_Lista!$A$2:$C$212,3,FALSE),"")</f>
        <v>0</v>
      </c>
    </row>
    <row r="159" spans="1:12" ht="30" customHeight="1">
      <c r="A159" s="2">
        <v>158</v>
      </c>
      <c r="B159" s="3" t="s">
        <v>36</v>
      </c>
      <c r="C159" s="3" t="s">
        <v>243</v>
      </c>
      <c r="D159" s="4" t="s">
        <v>244</v>
      </c>
      <c r="E159" s="3" t="s">
        <v>15</v>
      </c>
      <c r="F159" s="3" t="s">
        <v>123</v>
      </c>
      <c r="G159" s="3" t="s">
        <v>47</v>
      </c>
      <c r="H159" s="4" t="s">
        <v>105</v>
      </c>
      <c r="I159" s="4" t="s">
        <v>31</v>
      </c>
      <c r="J159" s="5">
        <f>IFERROR(VLOOKUP(K159,Docentes_Lista!$A$2:$C$212,2,FALSE),"")</f>
        <v>0</v>
      </c>
      <c r="K159" s="4"/>
      <c r="L159" s="2">
        <f>IFERROR(VLOOKUP(K159,Docentes_Lista!$A$2:$C$212,3,FALSE),"")</f>
        <v>0</v>
      </c>
    </row>
    <row r="160" spans="1:12" ht="30" customHeight="1">
      <c r="A160" s="2">
        <v>159</v>
      </c>
      <c r="B160" s="3" t="s">
        <v>26</v>
      </c>
      <c r="C160" s="3" t="s">
        <v>245</v>
      </c>
      <c r="D160" s="4" t="s">
        <v>246</v>
      </c>
      <c r="E160" s="3" t="s">
        <v>15</v>
      </c>
      <c r="F160" s="3" t="s">
        <v>123</v>
      </c>
      <c r="G160" s="3" t="s">
        <v>47</v>
      </c>
      <c r="H160" s="4" t="s">
        <v>105</v>
      </c>
      <c r="I160" s="4" t="s">
        <v>19</v>
      </c>
      <c r="J160" s="5">
        <f>IFERROR(VLOOKUP(K160,Docentes_Lista!$A$2:$C$212,2,FALSE),"")</f>
        <v>0</v>
      </c>
      <c r="K160" s="4"/>
      <c r="L160" s="2">
        <f>IFERROR(VLOOKUP(K160,Docentes_Lista!$A$2:$C$212,3,FALSE),"")</f>
        <v>0</v>
      </c>
    </row>
    <row r="161" spans="1:12" ht="30" customHeight="1">
      <c r="A161" s="2">
        <v>160</v>
      </c>
      <c r="B161" s="3" t="s">
        <v>26</v>
      </c>
      <c r="C161" s="3" t="s">
        <v>247</v>
      </c>
      <c r="D161" s="4" t="s">
        <v>248</v>
      </c>
      <c r="E161" s="3" t="s">
        <v>15</v>
      </c>
      <c r="F161" s="3" t="s">
        <v>123</v>
      </c>
      <c r="G161" s="3" t="s">
        <v>47</v>
      </c>
      <c r="H161" s="4" t="s">
        <v>105</v>
      </c>
      <c r="I161" s="4" t="s">
        <v>31</v>
      </c>
      <c r="J161" s="5">
        <f>IFERROR(VLOOKUP(K161,Docentes_Lista!$A$2:$C$212,2,FALSE),"")</f>
        <v>0</v>
      </c>
      <c r="K161" s="4"/>
      <c r="L161" s="2">
        <f>IFERROR(VLOOKUP(K161,Docentes_Lista!$A$2:$C$212,3,FALSE),"")</f>
        <v>0</v>
      </c>
    </row>
    <row r="162" spans="1:12" ht="30" customHeight="1">
      <c r="A162" s="2">
        <v>161</v>
      </c>
      <c r="B162" s="3" t="s">
        <v>36</v>
      </c>
      <c r="C162" s="3" t="s">
        <v>249</v>
      </c>
      <c r="D162" s="4" t="s">
        <v>250</v>
      </c>
      <c r="E162" s="3" t="s">
        <v>15</v>
      </c>
      <c r="F162" s="3" t="s">
        <v>86</v>
      </c>
      <c r="G162" s="3" t="s">
        <v>47</v>
      </c>
      <c r="H162" s="4" t="s">
        <v>48</v>
      </c>
      <c r="I162" s="4" t="s">
        <v>19</v>
      </c>
      <c r="J162" s="5">
        <f>IFERROR(VLOOKUP(K162,Docentes_Lista!$A$2:$C$212,2,FALSE),"")</f>
        <v>0</v>
      </c>
      <c r="K162" s="4"/>
      <c r="L162" s="2">
        <f>IFERROR(VLOOKUP(K162,Docentes_Lista!$A$2:$C$212,3,FALSE),"")</f>
        <v>0</v>
      </c>
    </row>
    <row r="163" spans="1:12" ht="30" customHeight="1">
      <c r="A163" s="2">
        <v>162</v>
      </c>
      <c r="B163" s="3" t="s">
        <v>56</v>
      </c>
      <c r="C163" s="3" t="s">
        <v>251</v>
      </c>
      <c r="D163" s="4" t="s">
        <v>252</v>
      </c>
      <c r="E163" s="3" t="s">
        <v>15</v>
      </c>
      <c r="F163" s="3" t="s">
        <v>46</v>
      </c>
      <c r="G163" s="3" t="s">
        <v>47</v>
      </c>
      <c r="H163" s="4" t="s">
        <v>48</v>
      </c>
      <c r="I163" s="4" t="s">
        <v>31</v>
      </c>
      <c r="J163" s="5">
        <f>IFERROR(VLOOKUP(K163,Docentes_Lista!$A$2:$C$212,2,FALSE),"")</f>
        <v>0</v>
      </c>
      <c r="K163" s="4"/>
      <c r="L163" s="2">
        <f>IFERROR(VLOOKUP(K163,Docentes_Lista!$A$2:$C$212,3,FALSE),"")</f>
        <v>0</v>
      </c>
    </row>
    <row r="164" spans="1:12" ht="30" customHeight="1">
      <c r="A164" s="2">
        <v>163</v>
      </c>
      <c r="B164" s="3" t="s">
        <v>12</v>
      </c>
      <c r="C164" s="3" t="s">
        <v>253</v>
      </c>
      <c r="D164" s="4" t="s">
        <v>148</v>
      </c>
      <c r="E164" s="3" t="s">
        <v>15</v>
      </c>
      <c r="F164" s="3" t="s">
        <v>46</v>
      </c>
      <c r="G164" s="3" t="s">
        <v>47</v>
      </c>
      <c r="H164" s="4" t="s">
        <v>48</v>
      </c>
      <c r="I164" s="4" t="s">
        <v>31</v>
      </c>
      <c r="J164" s="5">
        <f>IFERROR(VLOOKUP(K164,Docentes_Lista!$A$2:$C$212,2,FALSE),"")</f>
        <v>0</v>
      </c>
      <c r="K164" s="4"/>
      <c r="L164" s="2">
        <f>IFERROR(VLOOKUP(K164,Docentes_Lista!$A$2:$C$212,3,FALSE),"")</f>
        <v>0</v>
      </c>
    </row>
    <row r="165" spans="1:12" ht="30" customHeight="1">
      <c r="A165" s="2">
        <v>164</v>
      </c>
      <c r="B165" s="3" t="s">
        <v>12</v>
      </c>
      <c r="C165" s="3" t="s">
        <v>254</v>
      </c>
      <c r="D165" s="4" t="s">
        <v>255</v>
      </c>
      <c r="E165" s="3" t="s">
        <v>15</v>
      </c>
      <c r="F165" s="3" t="s">
        <v>86</v>
      </c>
      <c r="G165" s="3" t="s">
        <v>47</v>
      </c>
      <c r="H165" s="4" t="s">
        <v>48</v>
      </c>
      <c r="I165" s="4" t="s">
        <v>19</v>
      </c>
      <c r="J165" s="5">
        <f>IFERROR(VLOOKUP(K165,Docentes_Lista!$A$2:$C$212,2,FALSE),"")</f>
        <v>0</v>
      </c>
      <c r="K165" s="4"/>
      <c r="L165" s="2">
        <f>IFERROR(VLOOKUP(K165,Docentes_Lista!$A$2:$C$212,3,FALSE),"")</f>
        <v>0</v>
      </c>
    </row>
    <row r="166" spans="1:12" ht="30" customHeight="1">
      <c r="A166" s="2">
        <v>165</v>
      </c>
      <c r="B166" s="3" t="s">
        <v>12</v>
      </c>
      <c r="C166" s="3" t="s">
        <v>256</v>
      </c>
      <c r="D166" s="4" t="s">
        <v>257</v>
      </c>
      <c r="E166" s="3" t="s">
        <v>15</v>
      </c>
      <c r="F166" s="3" t="s">
        <v>46</v>
      </c>
      <c r="G166" s="3" t="s">
        <v>47</v>
      </c>
      <c r="H166" s="4" t="s">
        <v>48</v>
      </c>
      <c r="I166" s="4" t="s">
        <v>19</v>
      </c>
      <c r="J166" s="5">
        <f>IFERROR(VLOOKUP(K166,Docentes_Lista!$A$2:$C$212,2,FALSE),"")</f>
        <v>0</v>
      </c>
      <c r="K166" s="4"/>
      <c r="L166" s="2">
        <f>IFERROR(VLOOKUP(K166,Docentes_Lista!$A$2:$C$212,3,FALSE),"")</f>
        <v>0</v>
      </c>
    </row>
    <row r="167" spans="1:12" ht="30" customHeight="1">
      <c r="A167" s="2">
        <v>166</v>
      </c>
      <c r="B167" s="3" t="s">
        <v>12</v>
      </c>
      <c r="C167" s="3" t="s">
        <v>258</v>
      </c>
      <c r="D167" s="4" t="s">
        <v>66</v>
      </c>
      <c r="E167" s="3" t="s">
        <v>15</v>
      </c>
      <c r="F167" s="3" t="s">
        <v>46</v>
      </c>
      <c r="G167" s="3" t="s">
        <v>47</v>
      </c>
      <c r="H167" s="4" t="s">
        <v>48</v>
      </c>
      <c r="I167" s="4" t="s">
        <v>31</v>
      </c>
      <c r="J167" s="5">
        <f>IFERROR(VLOOKUP(K167,Docentes_Lista!$A$2:$C$212,2,FALSE),"")</f>
        <v>0</v>
      </c>
      <c r="K167" s="4"/>
      <c r="L167" s="2">
        <f>IFERROR(VLOOKUP(K167,Docentes_Lista!$A$2:$C$212,3,FALSE),"")</f>
        <v>0</v>
      </c>
    </row>
    <row r="168" spans="1:12" ht="30" customHeight="1">
      <c r="A168" s="2">
        <v>167</v>
      </c>
      <c r="B168" s="3" t="s">
        <v>12</v>
      </c>
      <c r="C168" s="3" t="s">
        <v>259</v>
      </c>
      <c r="D168" s="4" t="s">
        <v>68</v>
      </c>
      <c r="E168" s="3" t="s">
        <v>15</v>
      </c>
      <c r="F168" s="3" t="s">
        <v>86</v>
      </c>
      <c r="G168" s="3" t="s">
        <v>47</v>
      </c>
      <c r="H168" s="4" t="s">
        <v>48</v>
      </c>
      <c r="I168" s="4" t="s">
        <v>31</v>
      </c>
      <c r="J168" s="5">
        <f>IFERROR(VLOOKUP(K168,Docentes_Lista!$A$2:$C$212,2,FALSE),"")</f>
        <v>0</v>
      </c>
      <c r="K168" s="4"/>
      <c r="L168" s="2">
        <f>IFERROR(VLOOKUP(K168,Docentes_Lista!$A$2:$C$212,3,FALSE),"")</f>
        <v>0</v>
      </c>
    </row>
    <row r="169" spans="1:12" ht="30" customHeight="1">
      <c r="A169" s="2">
        <v>168</v>
      </c>
      <c r="B169" s="3" t="s">
        <v>36</v>
      </c>
      <c r="C169" s="3" t="s">
        <v>260</v>
      </c>
      <c r="D169" s="4" t="s">
        <v>261</v>
      </c>
      <c r="E169" s="3" t="s">
        <v>15</v>
      </c>
      <c r="F169" s="3" t="s">
        <v>46</v>
      </c>
      <c r="G169" s="3" t="s">
        <v>47</v>
      </c>
      <c r="H169" s="4" t="s">
        <v>48</v>
      </c>
      <c r="I169" s="4" t="s">
        <v>31</v>
      </c>
      <c r="J169" s="5">
        <f>IFERROR(VLOOKUP(K169,Docentes_Lista!$A$2:$C$212,2,FALSE),"")</f>
        <v>0</v>
      </c>
      <c r="K169" s="4"/>
      <c r="L169" s="2">
        <f>IFERROR(VLOOKUP(K169,Docentes_Lista!$A$2:$C$212,3,FALSE),"")</f>
        <v>0</v>
      </c>
    </row>
    <row r="170" spans="1:12" ht="30" customHeight="1">
      <c r="A170" s="2">
        <v>169</v>
      </c>
      <c r="B170" s="3" t="s">
        <v>36</v>
      </c>
      <c r="C170" s="3" t="s">
        <v>262</v>
      </c>
      <c r="D170" s="4" t="s">
        <v>263</v>
      </c>
      <c r="E170" s="3" t="s">
        <v>15</v>
      </c>
      <c r="F170" s="3" t="s">
        <v>86</v>
      </c>
      <c r="G170" s="3" t="s">
        <v>47</v>
      </c>
      <c r="H170" s="4" t="s">
        <v>48</v>
      </c>
      <c r="I170" s="4" t="s">
        <v>31</v>
      </c>
      <c r="J170" s="5">
        <f>IFERROR(VLOOKUP(K170,Docentes_Lista!$A$2:$C$212,2,FALSE),"")</f>
        <v>0</v>
      </c>
      <c r="K170" s="4"/>
      <c r="L170" s="2">
        <f>IFERROR(VLOOKUP(K170,Docentes_Lista!$A$2:$C$212,3,FALSE),"")</f>
        <v>0</v>
      </c>
    </row>
    <row r="171" spans="1:12" ht="30" customHeight="1">
      <c r="A171" s="2">
        <v>170</v>
      </c>
      <c r="B171" s="3" t="s">
        <v>12</v>
      </c>
      <c r="C171" s="3" t="s">
        <v>264</v>
      </c>
      <c r="D171" s="4" t="s">
        <v>120</v>
      </c>
      <c r="E171" s="3" t="s">
        <v>15</v>
      </c>
      <c r="F171" s="3" t="s">
        <v>46</v>
      </c>
      <c r="G171" s="3" t="s">
        <v>47</v>
      </c>
      <c r="H171" s="4" t="s">
        <v>48</v>
      </c>
      <c r="I171" s="4" t="s">
        <v>19</v>
      </c>
      <c r="J171" s="5">
        <f>IFERROR(VLOOKUP(K171,Docentes_Lista!$A$2:$C$212,2,FALSE),"")</f>
        <v>0</v>
      </c>
      <c r="K171" s="4"/>
      <c r="L171" s="2">
        <f>IFERROR(VLOOKUP(K171,Docentes_Lista!$A$2:$C$212,3,FALSE),"")</f>
        <v>0</v>
      </c>
    </row>
    <row r="172" spans="1:12" ht="30" customHeight="1">
      <c r="A172" s="2">
        <v>171</v>
      </c>
      <c r="B172" s="3" t="s">
        <v>12</v>
      </c>
      <c r="C172" s="3" t="s">
        <v>265</v>
      </c>
      <c r="D172" s="4" t="s">
        <v>153</v>
      </c>
      <c r="E172" s="3" t="s">
        <v>15</v>
      </c>
      <c r="F172" s="3" t="s">
        <v>86</v>
      </c>
      <c r="G172" s="3" t="s">
        <v>47</v>
      </c>
      <c r="H172" s="4" t="s">
        <v>48</v>
      </c>
      <c r="I172" s="4" t="s">
        <v>19</v>
      </c>
      <c r="J172" s="5">
        <f>IFERROR(VLOOKUP(K172,Docentes_Lista!$A$2:$C$212,2,FALSE),"")</f>
        <v>0</v>
      </c>
      <c r="K172" s="4"/>
      <c r="L172" s="2">
        <f>IFERROR(VLOOKUP(K172,Docentes_Lista!$A$2:$C$212,3,FALSE),"")</f>
        <v>0</v>
      </c>
    </row>
  </sheetData>
  <sheetProtection sheet="1" objects="1" scenarios="1"/>
  <dataValidations count="1">
    <dataValidation type="list" allowBlank="1" showInputMessage="1" showErrorMessage="1" sqref="K2:K172">
      <formula1>Docentes_Lista!$A$2:$A$212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12"/>
  <sheetViews>
    <sheetView workbookViewId="0"/>
  </sheetViews>
  <sheetFormatPr defaultRowHeight="15"/>
  <cols>
    <col min="1" max="1" width="30.7109375" customWidth="1"/>
    <col min="2" max="3" width="15.7109375" customWidth="1"/>
  </cols>
  <sheetData>
    <row r="1" spans="1:3">
      <c r="A1" s="6" t="s">
        <v>266</v>
      </c>
      <c r="B1" s="6" t="s">
        <v>267</v>
      </c>
      <c r="C1" s="6" t="s">
        <v>11</v>
      </c>
    </row>
    <row r="2" spans="1:3">
      <c r="A2" t="s">
        <v>268</v>
      </c>
      <c r="B2" t="s">
        <v>479</v>
      </c>
      <c r="C2">
        <v>1</v>
      </c>
    </row>
    <row r="3" spans="1:3">
      <c r="A3" t="s">
        <v>269</v>
      </c>
      <c r="B3" t="s">
        <v>479</v>
      </c>
      <c r="C3">
        <v>2</v>
      </c>
    </row>
    <row r="4" spans="1:3">
      <c r="A4" t="s">
        <v>270</v>
      </c>
      <c r="B4" t="s">
        <v>479</v>
      </c>
      <c r="C4">
        <v>3</v>
      </c>
    </row>
    <row r="5" spans="1:3">
      <c r="A5" t="s">
        <v>271</v>
      </c>
      <c r="B5" t="s">
        <v>479</v>
      </c>
      <c r="C5">
        <v>4</v>
      </c>
    </row>
    <row r="6" spans="1:3">
      <c r="A6" t="s">
        <v>272</v>
      </c>
      <c r="B6" t="s">
        <v>480</v>
      </c>
      <c r="C6">
        <v>5</v>
      </c>
    </row>
    <row r="7" spans="1:3">
      <c r="A7" t="s">
        <v>273</v>
      </c>
      <c r="B7" t="s">
        <v>479</v>
      </c>
      <c r="C7">
        <v>7</v>
      </c>
    </row>
    <row r="8" spans="1:3">
      <c r="A8" t="s">
        <v>274</v>
      </c>
      <c r="B8" t="s">
        <v>480</v>
      </c>
      <c r="C8">
        <v>9</v>
      </c>
    </row>
    <row r="9" spans="1:3">
      <c r="A9" t="s">
        <v>275</v>
      </c>
      <c r="B9" t="s">
        <v>480</v>
      </c>
      <c r="C9">
        <v>8</v>
      </c>
    </row>
    <row r="10" spans="1:3">
      <c r="A10" t="s">
        <v>276</v>
      </c>
      <c r="B10" t="s">
        <v>480</v>
      </c>
      <c r="C10">
        <v>10</v>
      </c>
    </row>
    <row r="11" spans="1:3">
      <c r="A11" t="s">
        <v>277</v>
      </c>
      <c r="B11" t="s">
        <v>480</v>
      </c>
      <c r="C11">
        <v>11</v>
      </c>
    </row>
    <row r="12" spans="1:3">
      <c r="A12" t="s">
        <v>278</v>
      </c>
      <c r="B12" t="s">
        <v>480</v>
      </c>
      <c r="C12">
        <v>12</v>
      </c>
    </row>
    <row r="13" spans="1:3">
      <c r="A13" t="s">
        <v>279</v>
      </c>
      <c r="B13" t="s">
        <v>481</v>
      </c>
      <c r="C13">
        <v>13</v>
      </c>
    </row>
    <row r="14" spans="1:3">
      <c r="A14" t="s">
        <v>280</v>
      </c>
      <c r="B14" t="s">
        <v>479</v>
      </c>
      <c r="C14">
        <v>17</v>
      </c>
    </row>
    <row r="15" spans="1:3">
      <c r="A15" t="s">
        <v>281</v>
      </c>
      <c r="B15" t="s">
        <v>479</v>
      </c>
      <c r="C15">
        <v>14</v>
      </c>
    </row>
    <row r="16" spans="1:3">
      <c r="A16" t="s">
        <v>282</v>
      </c>
      <c r="B16" t="s">
        <v>481</v>
      </c>
      <c r="C16">
        <v>15</v>
      </c>
    </row>
    <row r="17" spans="1:3">
      <c r="A17" t="s">
        <v>283</v>
      </c>
      <c r="B17" t="s">
        <v>480</v>
      </c>
      <c r="C17">
        <v>18</v>
      </c>
    </row>
    <row r="18" spans="1:3">
      <c r="A18" t="s">
        <v>284</v>
      </c>
      <c r="B18" t="s">
        <v>482</v>
      </c>
      <c r="C18">
        <v>19</v>
      </c>
    </row>
    <row r="19" spans="1:3">
      <c r="A19" t="s">
        <v>285</v>
      </c>
      <c r="B19" t="s">
        <v>479</v>
      </c>
      <c r="C19">
        <v>20</v>
      </c>
    </row>
    <row r="20" spans="1:3">
      <c r="A20" t="s">
        <v>286</v>
      </c>
      <c r="B20" t="s">
        <v>480</v>
      </c>
      <c r="C20">
        <v>21</v>
      </c>
    </row>
    <row r="21" spans="1:3">
      <c r="A21" t="s">
        <v>287</v>
      </c>
      <c r="B21" t="s">
        <v>482</v>
      </c>
      <c r="C21">
        <v>22</v>
      </c>
    </row>
    <row r="22" spans="1:3">
      <c r="A22" t="s">
        <v>288</v>
      </c>
      <c r="B22" t="s">
        <v>479</v>
      </c>
      <c r="C22">
        <v>23</v>
      </c>
    </row>
    <row r="23" spans="1:3">
      <c r="A23" t="s">
        <v>289</v>
      </c>
      <c r="B23" t="s">
        <v>479</v>
      </c>
      <c r="C23">
        <v>24</v>
      </c>
    </row>
    <row r="24" spans="1:3">
      <c r="A24" t="s">
        <v>290</v>
      </c>
      <c r="B24" t="s">
        <v>479</v>
      </c>
      <c r="C24">
        <v>25</v>
      </c>
    </row>
    <row r="25" spans="1:3">
      <c r="A25" t="s">
        <v>291</v>
      </c>
      <c r="B25" t="s">
        <v>482</v>
      </c>
      <c r="C25">
        <v>26</v>
      </c>
    </row>
    <row r="26" spans="1:3">
      <c r="A26" t="s">
        <v>292</v>
      </c>
      <c r="B26" t="s">
        <v>479</v>
      </c>
      <c r="C26">
        <v>27</v>
      </c>
    </row>
    <row r="27" spans="1:3">
      <c r="A27" t="s">
        <v>293</v>
      </c>
      <c r="B27" t="s">
        <v>479</v>
      </c>
      <c r="C27">
        <v>28</v>
      </c>
    </row>
    <row r="28" spans="1:3">
      <c r="A28" t="s">
        <v>294</v>
      </c>
      <c r="B28" t="s">
        <v>481</v>
      </c>
      <c r="C28">
        <v>29</v>
      </c>
    </row>
    <row r="29" spans="1:3">
      <c r="A29" t="s">
        <v>295</v>
      </c>
      <c r="B29" t="s">
        <v>480</v>
      </c>
      <c r="C29">
        <v>30</v>
      </c>
    </row>
    <row r="30" spans="1:3">
      <c r="A30" t="s">
        <v>296</v>
      </c>
      <c r="B30" t="s">
        <v>482</v>
      </c>
      <c r="C30">
        <v>204</v>
      </c>
    </row>
    <row r="31" spans="1:3">
      <c r="A31" t="s">
        <v>297</v>
      </c>
      <c r="B31" t="s">
        <v>483</v>
      </c>
      <c r="C31">
        <v>34</v>
      </c>
    </row>
    <row r="32" spans="1:3">
      <c r="A32" t="s">
        <v>298</v>
      </c>
      <c r="B32" t="s">
        <v>483</v>
      </c>
      <c r="C32">
        <v>35</v>
      </c>
    </row>
    <row r="33" spans="1:3">
      <c r="A33" t="s">
        <v>299</v>
      </c>
      <c r="B33" t="s">
        <v>479</v>
      </c>
      <c r="C33">
        <v>31</v>
      </c>
    </row>
    <row r="34" spans="1:3">
      <c r="A34" t="s">
        <v>300</v>
      </c>
      <c r="B34" t="s">
        <v>479</v>
      </c>
      <c r="C34">
        <v>32</v>
      </c>
    </row>
    <row r="35" spans="1:3">
      <c r="A35" t="s">
        <v>301</v>
      </c>
      <c r="B35" t="s">
        <v>479</v>
      </c>
      <c r="C35">
        <v>33</v>
      </c>
    </row>
    <row r="36" spans="1:3">
      <c r="A36" t="s">
        <v>302</v>
      </c>
      <c r="B36" t="s">
        <v>479</v>
      </c>
      <c r="C36">
        <v>36</v>
      </c>
    </row>
    <row r="37" spans="1:3">
      <c r="A37" t="s">
        <v>303</v>
      </c>
      <c r="B37" t="s">
        <v>479</v>
      </c>
      <c r="C37">
        <v>37</v>
      </c>
    </row>
    <row r="38" spans="1:3">
      <c r="A38" t="s">
        <v>304</v>
      </c>
      <c r="B38" t="s">
        <v>482</v>
      </c>
      <c r="C38">
        <v>38</v>
      </c>
    </row>
    <row r="39" spans="1:3">
      <c r="A39" t="s">
        <v>305</v>
      </c>
      <c r="B39" t="s">
        <v>482</v>
      </c>
      <c r="C39">
        <v>39</v>
      </c>
    </row>
    <row r="40" spans="1:3">
      <c r="A40" t="s">
        <v>306</v>
      </c>
      <c r="B40" t="s">
        <v>479</v>
      </c>
      <c r="C40">
        <v>40</v>
      </c>
    </row>
    <row r="41" spans="1:3">
      <c r="A41" t="s">
        <v>307</v>
      </c>
      <c r="B41" t="s">
        <v>479</v>
      </c>
      <c r="C41">
        <v>41</v>
      </c>
    </row>
    <row r="42" spans="1:3">
      <c r="A42" t="s">
        <v>308</v>
      </c>
      <c r="B42" t="s">
        <v>480</v>
      </c>
      <c r="C42">
        <v>42</v>
      </c>
    </row>
    <row r="43" spans="1:3">
      <c r="A43" t="s">
        <v>309</v>
      </c>
      <c r="B43" t="s">
        <v>480</v>
      </c>
      <c r="C43">
        <v>43</v>
      </c>
    </row>
    <row r="44" spans="1:3">
      <c r="A44" t="s">
        <v>310</v>
      </c>
      <c r="B44" t="s">
        <v>483</v>
      </c>
      <c r="C44">
        <v>44</v>
      </c>
    </row>
    <row r="45" spans="1:3">
      <c r="A45" t="s">
        <v>311</v>
      </c>
      <c r="B45" t="s">
        <v>481</v>
      </c>
      <c r="C45">
        <v>45</v>
      </c>
    </row>
    <row r="46" spans="1:3">
      <c r="A46" t="s">
        <v>312</v>
      </c>
      <c r="B46" t="s">
        <v>479</v>
      </c>
      <c r="C46">
        <v>46</v>
      </c>
    </row>
    <row r="47" spans="1:3">
      <c r="A47" t="s">
        <v>313</v>
      </c>
      <c r="B47" t="s">
        <v>479</v>
      </c>
      <c r="C47">
        <v>47</v>
      </c>
    </row>
    <row r="48" spans="1:3">
      <c r="A48" t="s">
        <v>314</v>
      </c>
      <c r="B48" t="s">
        <v>479</v>
      </c>
      <c r="C48">
        <v>48</v>
      </c>
    </row>
    <row r="49" spans="1:3">
      <c r="A49" t="s">
        <v>315</v>
      </c>
      <c r="B49" t="s">
        <v>479</v>
      </c>
      <c r="C49">
        <v>49</v>
      </c>
    </row>
    <row r="50" spans="1:3">
      <c r="A50" t="s">
        <v>316</v>
      </c>
      <c r="B50" t="s">
        <v>479</v>
      </c>
      <c r="C50">
        <v>50</v>
      </c>
    </row>
    <row r="51" spans="1:3">
      <c r="A51" t="s">
        <v>317</v>
      </c>
      <c r="B51" t="s">
        <v>479</v>
      </c>
      <c r="C51">
        <v>51</v>
      </c>
    </row>
    <row r="52" spans="1:3">
      <c r="A52" t="s">
        <v>318</v>
      </c>
      <c r="B52" t="s">
        <v>479</v>
      </c>
      <c r="C52">
        <v>52</v>
      </c>
    </row>
    <row r="53" spans="1:3">
      <c r="A53" t="s">
        <v>319</v>
      </c>
      <c r="B53" t="s">
        <v>480</v>
      </c>
      <c r="C53">
        <v>53</v>
      </c>
    </row>
    <row r="54" spans="1:3">
      <c r="A54" t="s">
        <v>320</v>
      </c>
      <c r="B54" t="s">
        <v>479</v>
      </c>
      <c r="C54">
        <v>54</v>
      </c>
    </row>
    <row r="55" spans="1:3">
      <c r="A55" t="s">
        <v>321</v>
      </c>
      <c r="B55" t="s">
        <v>482</v>
      </c>
      <c r="C55">
        <v>55</v>
      </c>
    </row>
    <row r="56" spans="1:3">
      <c r="A56" t="s">
        <v>322</v>
      </c>
      <c r="B56" t="s">
        <v>479</v>
      </c>
      <c r="C56">
        <v>56</v>
      </c>
    </row>
    <row r="57" spans="1:3">
      <c r="A57" t="s">
        <v>323</v>
      </c>
      <c r="B57" t="s">
        <v>484</v>
      </c>
      <c r="C57">
        <v>57</v>
      </c>
    </row>
    <row r="58" spans="1:3">
      <c r="A58" t="s">
        <v>324</v>
      </c>
      <c r="B58" t="s">
        <v>483</v>
      </c>
      <c r="C58">
        <v>58</v>
      </c>
    </row>
    <row r="59" spans="1:3">
      <c r="A59" t="s">
        <v>325</v>
      </c>
      <c r="B59" t="s">
        <v>479</v>
      </c>
      <c r="C59">
        <v>59</v>
      </c>
    </row>
    <row r="60" spans="1:3">
      <c r="A60" t="s">
        <v>326</v>
      </c>
      <c r="B60" t="s">
        <v>479</v>
      </c>
      <c r="C60">
        <v>60</v>
      </c>
    </row>
    <row r="61" spans="1:3">
      <c r="A61" t="s">
        <v>327</v>
      </c>
      <c r="B61" t="s">
        <v>479</v>
      </c>
      <c r="C61">
        <v>61</v>
      </c>
    </row>
    <row r="62" spans="1:3">
      <c r="A62" t="s">
        <v>328</v>
      </c>
      <c r="B62" t="s">
        <v>479</v>
      </c>
      <c r="C62">
        <v>62</v>
      </c>
    </row>
    <row r="63" spans="1:3">
      <c r="A63" t="s">
        <v>329</v>
      </c>
      <c r="B63" t="s">
        <v>479</v>
      </c>
      <c r="C63">
        <v>63</v>
      </c>
    </row>
    <row r="64" spans="1:3">
      <c r="A64" t="s">
        <v>330</v>
      </c>
      <c r="B64" t="s">
        <v>482</v>
      </c>
      <c r="C64">
        <v>64</v>
      </c>
    </row>
    <row r="65" spans="1:3">
      <c r="A65" t="s">
        <v>331</v>
      </c>
      <c r="B65" t="s">
        <v>482</v>
      </c>
      <c r="C65">
        <v>65</v>
      </c>
    </row>
    <row r="66" spans="1:3">
      <c r="A66" t="s">
        <v>332</v>
      </c>
      <c r="B66" t="s">
        <v>479</v>
      </c>
      <c r="C66">
        <v>66</v>
      </c>
    </row>
    <row r="67" spans="1:3">
      <c r="A67" t="s">
        <v>333</v>
      </c>
      <c r="B67" t="s">
        <v>482</v>
      </c>
      <c r="C67">
        <v>67</v>
      </c>
    </row>
    <row r="68" spans="1:3">
      <c r="A68" t="s">
        <v>334</v>
      </c>
      <c r="B68" t="s">
        <v>479</v>
      </c>
      <c r="C68">
        <v>68</v>
      </c>
    </row>
    <row r="69" spans="1:3">
      <c r="A69" t="s">
        <v>335</v>
      </c>
      <c r="B69" t="s">
        <v>483</v>
      </c>
      <c r="C69">
        <v>69</v>
      </c>
    </row>
    <row r="70" spans="1:3">
      <c r="A70" t="s">
        <v>336</v>
      </c>
      <c r="B70" t="s">
        <v>479</v>
      </c>
      <c r="C70">
        <v>205</v>
      </c>
    </row>
    <row r="71" spans="1:3">
      <c r="A71" t="s">
        <v>337</v>
      </c>
      <c r="B71" t="s">
        <v>479</v>
      </c>
      <c r="C71">
        <v>70</v>
      </c>
    </row>
    <row r="72" spans="1:3">
      <c r="A72" t="s">
        <v>338</v>
      </c>
      <c r="B72" t="s">
        <v>482</v>
      </c>
      <c r="C72">
        <v>71</v>
      </c>
    </row>
    <row r="73" spans="1:3">
      <c r="A73" t="s">
        <v>339</v>
      </c>
      <c r="B73" t="s">
        <v>481</v>
      </c>
      <c r="C73">
        <v>72</v>
      </c>
    </row>
    <row r="74" spans="1:3">
      <c r="A74" t="s">
        <v>340</v>
      </c>
      <c r="B74" t="s">
        <v>480</v>
      </c>
      <c r="C74">
        <v>73</v>
      </c>
    </row>
    <row r="75" spans="1:3">
      <c r="A75" t="s">
        <v>341</v>
      </c>
      <c r="B75" t="s">
        <v>480</v>
      </c>
      <c r="C75">
        <v>74</v>
      </c>
    </row>
    <row r="76" spans="1:3">
      <c r="A76" t="s">
        <v>342</v>
      </c>
      <c r="B76" t="s">
        <v>479</v>
      </c>
      <c r="C76">
        <v>75</v>
      </c>
    </row>
    <row r="77" spans="1:3">
      <c r="A77" t="s">
        <v>343</v>
      </c>
      <c r="B77" t="s">
        <v>481</v>
      </c>
      <c r="C77">
        <v>76</v>
      </c>
    </row>
    <row r="78" spans="1:3">
      <c r="A78" t="s">
        <v>344</v>
      </c>
      <c r="B78" t="s">
        <v>482</v>
      </c>
      <c r="C78">
        <v>77</v>
      </c>
    </row>
    <row r="79" spans="1:3">
      <c r="A79" t="s">
        <v>345</v>
      </c>
      <c r="B79" t="s">
        <v>482</v>
      </c>
      <c r="C79">
        <v>79</v>
      </c>
    </row>
    <row r="80" spans="1:3">
      <c r="A80" t="s">
        <v>346</v>
      </c>
      <c r="B80" t="s">
        <v>482</v>
      </c>
      <c r="C80">
        <v>80</v>
      </c>
    </row>
    <row r="81" spans="1:3">
      <c r="A81" t="s">
        <v>347</v>
      </c>
      <c r="B81" t="s">
        <v>479</v>
      </c>
      <c r="C81">
        <v>81</v>
      </c>
    </row>
    <row r="82" spans="1:3">
      <c r="A82" t="s">
        <v>348</v>
      </c>
      <c r="B82" t="s">
        <v>479</v>
      </c>
      <c r="C82">
        <v>78</v>
      </c>
    </row>
    <row r="83" spans="1:3">
      <c r="A83" t="s">
        <v>349</v>
      </c>
      <c r="B83" t="s">
        <v>480</v>
      </c>
      <c r="C83">
        <v>82</v>
      </c>
    </row>
    <row r="84" spans="1:3">
      <c r="A84" t="s">
        <v>350</v>
      </c>
      <c r="B84" t="s">
        <v>481</v>
      </c>
      <c r="C84">
        <v>83</v>
      </c>
    </row>
    <row r="85" spans="1:3">
      <c r="A85" t="s">
        <v>351</v>
      </c>
      <c r="B85" t="s">
        <v>483</v>
      </c>
      <c r="C85">
        <v>84</v>
      </c>
    </row>
    <row r="86" spans="1:3">
      <c r="A86" t="s">
        <v>352</v>
      </c>
      <c r="B86" t="s">
        <v>479</v>
      </c>
      <c r="C86">
        <v>85</v>
      </c>
    </row>
    <row r="87" spans="1:3">
      <c r="A87" t="s">
        <v>353</v>
      </c>
      <c r="B87" t="s">
        <v>479</v>
      </c>
      <c r="C87">
        <v>86</v>
      </c>
    </row>
    <row r="88" spans="1:3">
      <c r="A88" t="s">
        <v>354</v>
      </c>
      <c r="B88" t="s">
        <v>479</v>
      </c>
      <c r="C88">
        <v>87</v>
      </c>
    </row>
    <row r="89" spans="1:3">
      <c r="A89" t="s">
        <v>355</v>
      </c>
      <c r="B89" t="s">
        <v>482</v>
      </c>
      <c r="C89">
        <v>88</v>
      </c>
    </row>
    <row r="90" spans="1:3">
      <c r="A90" t="s">
        <v>356</v>
      </c>
      <c r="B90" t="s">
        <v>479</v>
      </c>
      <c r="C90">
        <v>89</v>
      </c>
    </row>
    <row r="91" spans="1:3">
      <c r="A91" t="s">
        <v>357</v>
      </c>
      <c r="B91" t="s">
        <v>479</v>
      </c>
      <c r="C91">
        <v>90</v>
      </c>
    </row>
    <row r="92" spans="1:3">
      <c r="A92" t="s">
        <v>358</v>
      </c>
      <c r="B92" t="s">
        <v>482</v>
      </c>
      <c r="C92">
        <v>91</v>
      </c>
    </row>
    <row r="93" spans="1:3">
      <c r="A93" t="s">
        <v>359</v>
      </c>
      <c r="B93" t="s">
        <v>483</v>
      </c>
      <c r="C93">
        <v>92</v>
      </c>
    </row>
    <row r="94" spans="1:3">
      <c r="A94" t="s">
        <v>360</v>
      </c>
      <c r="B94" t="s">
        <v>479</v>
      </c>
      <c r="C94">
        <v>93</v>
      </c>
    </row>
    <row r="95" spans="1:3">
      <c r="A95" t="s">
        <v>361</v>
      </c>
      <c r="B95" t="s">
        <v>482</v>
      </c>
      <c r="C95">
        <v>94</v>
      </c>
    </row>
    <row r="96" spans="1:3">
      <c r="A96" t="s">
        <v>362</v>
      </c>
      <c r="B96" t="s">
        <v>479</v>
      </c>
      <c r="C96">
        <v>95</v>
      </c>
    </row>
    <row r="97" spans="1:3">
      <c r="A97" t="s">
        <v>363</v>
      </c>
      <c r="B97" t="s">
        <v>479</v>
      </c>
      <c r="C97">
        <v>110</v>
      </c>
    </row>
    <row r="98" spans="1:3">
      <c r="A98" t="s">
        <v>364</v>
      </c>
      <c r="B98" t="s">
        <v>479</v>
      </c>
      <c r="C98">
        <v>96</v>
      </c>
    </row>
    <row r="99" spans="1:3">
      <c r="A99" t="s">
        <v>365</v>
      </c>
      <c r="B99" t="s">
        <v>482</v>
      </c>
      <c r="C99">
        <v>97</v>
      </c>
    </row>
    <row r="100" spans="1:3">
      <c r="A100" t="s">
        <v>366</v>
      </c>
      <c r="B100" t="s">
        <v>479</v>
      </c>
      <c r="C100">
        <v>98</v>
      </c>
    </row>
    <row r="101" spans="1:3">
      <c r="A101" t="s">
        <v>367</v>
      </c>
      <c r="B101" t="s">
        <v>479</v>
      </c>
      <c r="C101">
        <v>99</v>
      </c>
    </row>
    <row r="102" spans="1:3">
      <c r="A102" t="s">
        <v>368</v>
      </c>
      <c r="B102" t="s">
        <v>479</v>
      </c>
      <c r="C102">
        <v>100</v>
      </c>
    </row>
    <row r="103" spans="1:3">
      <c r="A103" t="s">
        <v>369</v>
      </c>
      <c r="B103" t="s">
        <v>482</v>
      </c>
      <c r="C103">
        <v>101</v>
      </c>
    </row>
    <row r="104" spans="1:3">
      <c r="A104" t="s">
        <v>370</v>
      </c>
      <c r="B104" t="s">
        <v>479</v>
      </c>
      <c r="C104">
        <v>102</v>
      </c>
    </row>
    <row r="105" spans="1:3">
      <c r="A105" t="s">
        <v>371</v>
      </c>
      <c r="B105" t="s">
        <v>479</v>
      </c>
      <c r="C105">
        <v>103</v>
      </c>
    </row>
    <row r="106" spans="1:3">
      <c r="A106" t="s">
        <v>372</v>
      </c>
      <c r="B106" t="s">
        <v>479</v>
      </c>
      <c r="C106">
        <v>104</v>
      </c>
    </row>
    <row r="107" spans="1:3">
      <c r="A107" t="s">
        <v>373</v>
      </c>
      <c r="B107" t="s">
        <v>479</v>
      </c>
      <c r="C107">
        <v>105</v>
      </c>
    </row>
    <row r="108" spans="1:3">
      <c r="A108" t="s">
        <v>374</v>
      </c>
      <c r="B108" t="s">
        <v>482</v>
      </c>
      <c r="C108">
        <v>106</v>
      </c>
    </row>
    <row r="109" spans="1:3">
      <c r="A109" t="s">
        <v>375</v>
      </c>
      <c r="B109" t="s">
        <v>479</v>
      </c>
      <c r="C109">
        <v>211</v>
      </c>
    </row>
    <row r="110" spans="1:3">
      <c r="A110" t="s">
        <v>376</v>
      </c>
      <c r="B110" t="s">
        <v>479</v>
      </c>
      <c r="C110">
        <v>210</v>
      </c>
    </row>
    <row r="111" spans="1:3">
      <c r="A111" t="s">
        <v>377</v>
      </c>
      <c r="B111" t="s">
        <v>479</v>
      </c>
      <c r="C111">
        <v>107</v>
      </c>
    </row>
    <row r="112" spans="1:3">
      <c r="A112" t="s">
        <v>378</v>
      </c>
      <c r="B112" t="s">
        <v>479</v>
      </c>
      <c r="C112">
        <v>108</v>
      </c>
    </row>
    <row r="113" spans="1:3">
      <c r="A113" t="s">
        <v>379</v>
      </c>
      <c r="B113" t="s">
        <v>479</v>
      </c>
      <c r="C113">
        <v>109</v>
      </c>
    </row>
    <row r="114" spans="1:3">
      <c r="A114" t="s">
        <v>380</v>
      </c>
      <c r="B114" t="s">
        <v>482</v>
      </c>
      <c r="C114">
        <v>111</v>
      </c>
    </row>
    <row r="115" spans="1:3">
      <c r="A115" t="s">
        <v>381</v>
      </c>
      <c r="B115" t="s">
        <v>479</v>
      </c>
      <c r="C115">
        <v>112</v>
      </c>
    </row>
    <row r="116" spans="1:3">
      <c r="A116" t="s">
        <v>382</v>
      </c>
      <c r="B116" t="s">
        <v>480</v>
      </c>
      <c r="C116">
        <v>113</v>
      </c>
    </row>
    <row r="117" spans="1:3">
      <c r="A117" t="s">
        <v>383</v>
      </c>
      <c r="B117" t="s">
        <v>479</v>
      </c>
      <c r="C117">
        <v>114</v>
      </c>
    </row>
    <row r="118" spans="1:3">
      <c r="A118" t="s">
        <v>384</v>
      </c>
      <c r="B118" t="s">
        <v>479</v>
      </c>
      <c r="C118">
        <v>115</v>
      </c>
    </row>
    <row r="119" spans="1:3">
      <c r="A119" t="s">
        <v>385</v>
      </c>
      <c r="B119" t="s">
        <v>479</v>
      </c>
      <c r="C119">
        <v>116</v>
      </c>
    </row>
    <row r="120" spans="1:3">
      <c r="A120" t="s">
        <v>386</v>
      </c>
      <c r="B120" t="s">
        <v>480</v>
      </c>
      <c r="C120">
        <v>117</v>
      </c>
    </row>
    <row r="121" spans="1:3">
      <c r="A121" t="s">
        <v>387</v>
      </c>
      <c r="B121" t="s">
        <v>480</v>
      </c>
      <c r="C121">
        <v>118</v>
      </c>
    </row>
    <row r="122" spans="1:3">
      <c r="A122" t="s">
        <v>388</v>
      </c>
      <c r="B122" t="s">
        <v>482</v>
      </c>
      <c r="C122">
        <v>119</v>
      </c>
    </row>
    <row r="123" spans="1:3">
      <c r="A123" t="s">
        <v>389</v>
      </c>
      <c r="B123" t="s">
        <v>480</v>
      </c>
      <c r="C123">
        <v>120</v>
      </c>
    </row>
    <row r="124" spans="1:3">
      <c r="A124" t="s">
        <v>390</v>
      </c>
      <c r="B124" t="s">
        <v>480</v>
      </c>
      <c r="C124">
        <v>121</v>
      </c>
    </row>
    <row r="125" spans="1:3">
      <c r="A125" t="s">
        <v>391</v>
      </c>
      <c r="B125" t="s">
        <v>482</v>
      </c>
      <c r="C125">
        <v>209</v>
      </c>
    </row>
    <row r="126" spans="1:3">
      <c r="A126" t="s">
        <v>392</v>
      </c>
      <c r="B126" t="s">
        <v>479</v>
      </c>
      <c r="C126">
        <v>122</v>
      </c>
    </row>
    <row r="127" spans="1:3">
      <c r="A127" t="s">
        <v>393</v>
      </c>
      <c r="B127" t="s">
        <v>479</v>
      </c>
      <c r="C127">
        <v>123</v>
      </c>
    </row>
    <row r="128" spans="1:3">
      <c r="A128" t="s">
        <v>394</v>
      </c>
      <c r="B128" t="s">
        <v>482</v>
      </c>
      <c r="C128">
        <v>124</v>
      </c>
    </row>
    <row r="129" spans="1:3">
      <c r="A129" t="s">
        <v>395</v>
      </c>
      <c r="B129" t="s">
        <v>479</v>
      </c>
      <c r="C129">
        <v>125</v>
      </c>
    </row>
    <row r="130" spans="1:3">
      <c r="A130" t="s">
        <v>396</v>
      </c>
      <c r="B130" t="s">
        <v>481</v>
      </c>
      <c r="C130">
        <v>126</v>
      </c>
    </row>
    <row r="131" spans="1:3">
      <c r="A131" t="s">
        <v>397</v>
      </c>
      <c r="B131" t="s">
        <v>479</v>
      </c>
      <c r="C131">
        <v>128</v>
      </c>
    </row>
    <row r="132" spans="1:3">
      <c r="A132" t="s">
        <v>398</v>
      </c>
      <c r="B132" t="s">
        <v>483</v>
      </c>
      <c r="C132">
        <v>129</v>
      </c>
    </row>
    <row r="133" spans="1:3">
      <c r="A133" t="s">
        <v>399</v>
      </c>
      <c r="B133" t="s">
        <v>479</v>
      </c>
      <c r="C133">
        <v>130</v>
      </c>
    </row>
    <row r="134" spans="1:3">
      <c r="A134" t="s">
        <v>400</v>
      </c>
      <c r="B134" t="s">
        <v>482</v>
      </c>
      <c r="C134">
        <v>131</v>
      </c>
    </row>
    <row r="135" spans="1:3">
      <c r="A135" t="s">
        <v>401</v>
      </c>
      <c r="B135" t="s">
        <v>479</v>
      </c>
      <c r="C135">
        <v>132</v>
      </c>
    </row>
    <row r="136" spans="1:3">
      <c r="A136" t="s">
        <v>402</v>
      </c>
      <c r="B136" t="s">
        <v>483</v>
      </c>
      <c r="C136">
        <v>133</v>
      </c>
    </row>
    <row r="137" spans="1:3">
      <c r="A137" t="s">
        <v>403</v>
      </c>
      <c r="B137" t="s">
        <v>479</v>
      </c>
      <c r="C137">
        <v>136</v>
      </c>
    </row>
    <row r="138" spans="1:3">
      <c r="A138" t="s">
        <v>404</v>
      </c>
      <c r="B138" t="s">
        <v>479</v>
      </c>
      <c r="C138">
        <v>137</v>
      </c>
    </row>
    <row r="139" spans="1:3">
      <c r="A139" t="s">
        <v>405</v>
      </c>
      <c r="B139" t="s">
        <v>479</v>
      </c>
      <c r="C139">
        <v>138</v>
      </c>
    </row>
    <row r="140" spans="1:3">
      <c r="A140" t="s">
        <v>406</v>
      </c>
      <c r="B140" t="s">
        <v>479</v>
      </c>
      <c r="C140">
        <v>139</v>
      </c>
    </row>
    <row r="141" spans="1:3">
      <c r="A141" t="s">
        <v>407</v>
      </c>
      <c r="B141" t="s">
        <v>479</v>
      </c>
      <c r="C141">
        <v>140</v>
      </c>
    </row>
    <row r="142" spans="1:3">
      <c r="A142" t="s">
        <v>408</v>
      </c>
      <c r="B142" t="s">
        <v>483</v>
      </c>
      <c r="C142">
        <v>141</v>
      </c>
    </row>
    <row r="143" spans="1:3">
      <c r="A143" t="s">
        <v>409</v>
      </c>
      <c r="B143" t="s">
        <v>480</v>
      </c>
      <c r="C143">
        <v>142</v>
      </c>
    </row>
    <row r="144" spans="1:3">
      <c r="A144" t="s">
        <v>410</v>
      </c>
      <c r="B144" t="s">
        <v>480</v>
      </c>
      <c r="C144">
        <v>143</v>
      </c>
    </row>
    <row r="145" spans="1:3">
      <c r="A145" t="s">
        <v>411</v>
      </c>
      <c r="B145" t="s">
        <v>482</v>
      </c>
      <c r="C145">
        <v>208</v>
      </c>
    </row>
    <row r="146" spans="1:3">
      <c r="A146" t="s">
        <v>412</v>
      </c>
      <c r="B146" t="s">
        <v>480</v>
      </c>
      <c r="C146">
        <v>134</v>
      </c>
    </row>
    <row r="147" spans="1:3">
      <c r="A147" t="s">
        <v>413</v>
      </c>
      <c r="B147" t="s">
        <v>480</v>
      </c>
      <c r="C147">
        <v>135</v>
      </c>
    </row>
    <row r="148" spans="1:3">
      <c r="A148" t="s">
        <v>414</v>
      </c>
      <c r="B148" t="s">
        <v>482</v>
      </c>
      <c r="C148">
        <v>144</v>
      </c>
    </row>
    <row r="149" spans="1:3">
      <c r="A149" t="s">
        <v>415</v>
      </c>
      <c r="B149" t="s">
        <v>482</v>
      </c>
      <c r="C149">
        <v>145</v>
      </c>
    </row>
    <row r="150" spans="1:3">
      <c r="A150" t="s">
        <v>416</v>
      </c>
      <c r="B150" t="s">
        <v>479</v>
      </c>
      <c r="C150">
        <v>146</v>
      </c>
    </row>
    <row r="151" spans="1:3">
      <c r="A151" t="s">
        <v>417</v>
      </c>
      <c r="B151" t="s">
        <v>479</v>
      </c>
      <c r="C151">
        <v>147</v>
      </c>
    </row>
    <row r="152" spans="1:3">
      <c r="A152" t="s">
        <v>418</v>
      </c>
      <c r="B152" t="s">
        <v>480</v>
      </c>
      <c r="C152">
        <v>148</v>
      </c>
    </row>
    <row r="153" spans="1:3">
      <c r="A153" t="s">
        <v>419</v>
      </c>
      <c r="B153" t="s">
        <v>483</v>
      </c>
      <c r="C153">
        <v>127</v>
      </c>
    </row>
    <row r="154" spans="1:3">
      <c r="A154" t="s">
        <v>420</v>
      </c>
      <c r="B154" t="s">
        <v>480</v>
      </c>
      <c r="C154">
        <v>149</v>
      </c>
    </row>
    <row r="155" spans="1:3">
      <c r="A155" t="s">
        <v>421</v>
      </c>
      <c r="B155" t="s">
        <v>479</v>
      </c>
      <c r="C155">
        <v>150</v>
      </c>
    </row>
    <row r="156" spans="1:3">
      <c r="A156" t="s">
        <v>422</v>
      </c>
      <c r="B156" t="s">
        <v>480</v>
      </c>
      <c r="C156">
        <v>151</v>
      </c>
    </row>
    <row r="157" spans="1:3">
      <c r="A157" t="s">
        <v>423</v>
      </c>
      <c r="B157" t="s">
        <v>479</v>
      </c>
      <c r="C157">
        <v>152</v>
      </c>
    </row>
    <row r="158" spans="1:3">
      <c r="A158" t="s">
        <v>424</v>
      </c>
      <c r="B158" t="s">
        <v>479</v>
      </c>
      <c r="C158">
        <v>153</v>
      </c>
    </row>
    <row r="159" spans="1:3">
      <c r="A159" t="s">
        <v>425</v>
      </c>
      <c r="B159" t="s">
        <v>479</v>
      </c>
      <c r="C159">
        <v>154</v>
      </c>
    </row>
    <row r="160" spans="1:3">
      <c r="A160" t="s">
        <v>426</v>
      </c>
      <c r="B160" t="s">
        <v>485</v>
      </c>
      <c r="C160">
        <v>155</v>
      </c>
    </row>
    <row r="161" spans="1:3">
      <c r="A161" t="s">
        <v>427</v>
      </c>
      <c r="B161" t="s">
        <v>481</v>
      </c>
      <c r="C161">
        <v>156</v>
      </c>
    </row>
    <row r="162" spans="1:3">
      <c r="A162" t="s">
        <v>428</v>
      </c>
      <c r="B162" t="s">
        <v>479</v>
      </c>
      <c r="C162">
        <v>157</v>
      </c>
    </row>
    <row r="163" spans="1:3">
      <c r="A163" t="s">
        <v>429</v>
      </c>
      <c r="B163" t="s">
        <v>479</v>
      </c>
      <c r="C163">
        <v>159</v>
      </c>
    </row>
    <row r="164" spans="1:3">
      <c r="A164" t="s">
        <v>430</v>
      </c>
      <c r="B164" t="s">
        <v>480</v>
      </c>
      <c r="C164">
        <v>161</v>
      </c>
    </row>
    <row r="165" spans="1:3">
      <c r="A165" t="s">
        <v>431</v>
      </c>
      <c r="B165" t="s">
        <v>479</v>
      </c>
      <c r="C165">
        <v>160</v>
      </c>
    </row>
    <row r="166" spans="1:3">
      <c r="A166" t="s">
        <v>432</v>
      </c>
      <c r="B166" t="s">
        <v>479</v>
      </c>
      <c r="C166">
        <v>158</v>
      </c>
    </row>
    <row r="167" spans="1:3">
      <c r="A167" t="s">
        <v>433</v>
      </c>
      <c r="B167" t="s">
        <v>482</v>
      </c>
      <c r="C167">
        <v>162</v>
      </c>
    </row>
    <row r="168" spans="1:3">
      <c r="A168" t="s">
        <v>434</v>
      </c>
      <c r="B168" t="s">
        <v>479</v>
      </c>
      <c r="C168">
        <v>163</v>
      </c>
    </row>
    <row r="169" spans="1:3">
      <c r="A169" t="s">
        <v>435</v>
      </c>
      <c r="B169" t="s">
        <v>482</v>
      </c>
      <c r="C169">
        <v>170</v>
      </c>
    </row>
    <row r="170" spans="1:3">
      <c r="A170" t="s">
        <v>436</v>
      </c>
      <c r="B170" t="s">
        <v>482</v>
      </c>
      <c r="C170">
        <v>171</v>
      </c>
    </row>
    <row r="171" spans="1:3">
      <c r="A171" t="s">
        <v>437</v>
      </c>
      <c r="B171" t="s">
        <v>482</v>
      </c>
      <c r="C171">
        <v>172</v>
      </c>
    </row>
    <row r="172" spans="1:3">
      <c r="A172" t="s">
        <v>438</v>
      </c>
      <c r="B172" t="s">
        <v>479</v>
      </c>
      <c r="C172">
        <v>173</v>
      </c>
    </row>
    <row r="173" spans="1:3">
      <c r="A173" t="s">
        <v>439</v>
      </c>
      <c r="B173" t="s">
        <v>480</v>
      </c>
      <c r="C173">
        <v>174</v>
      </c>
    </row>
    <row r="174" spans="1:3">
      <c r="A174" t="s">
        <v>440</v>
      </c>
      <c r="B174" t="s">
        <v>479</v>
      </c>
      <c r="C174">
        <v>175</v>
      </c>
    </row>
    <row r="175" spans="1:3">
      <c r="A175" t="s">
        <v>441</v>
      </c>
      <c r="B175" t="s">
        <v>479</v>
      </c>
      <c r="C175">
        <v>176</v>
      </c>
    </row>
    <row r="176" spans="1:3">
      <c r="A176" t="s">
        <v>442</v>
      </c>
      <c r="B176" t="s">
        <v>480</v>
      </c>
      <c r="C176">
        <v>177</v>
      </c>
    </row>
    <row r="177" spans="1:3">
      <c r="A177" t="s">
        <v>443</v>
      </c>
      <c r="B177" t="s">
        <v>479</v>
      </c>
      <c r="C177">
        <v>178</v>
      </c>
    </row>
    <row r="178" spans="1:3">
      <c r="A178" t="s">
        <v>444</v>
      </c>
      <c r="B178" t="s">
        <v>482</v>
      </c>
      <c r="C178">
        <v>179</v>
      </c>
    </row>
    <row r="179" spans="1:3">
      <c r="A179" t="s">
        <v>445</v>
      </c>
      <c r="B179" t="s">
        <v>479</v>
      </c>
      <c r="C179">
        <v>180</v>
      </c>
    </row>
    <row r="180" spans="1:3">
      <c r="A180" t="s">
        <v>446</v>
      </c>
      <c r="B180" t="s">
        <v>479</v>
      </c>
      <c r="C180">
        <v>181</v>
      </c>
    </row>
    <row r="181" spans="1:3">
      <c r="A181" t="s">
        <v>447</v>
      </c>
      <c r="B181" t="s">
        <v>479</v>
      </c>
      <c r="C181">
        <v>182</v>
      </c>
    </row>
    <row r="182" spans="1:3">
      <c r="A182" t="s">
        <v>448</v>
      </c>
      <c r="B182" t="s">
        <v>481</v>
      </c>
      <c r="C182">
        <v>183</v>
      </c>
    </row>
    <row r="183" spans="1:3">
      <c r="A183" t="s">
        <v>449</v>
      </c>
      <c r="B183" t="s">
        <v>482</v>
      </c>
      <c r="C183">
        <v>184</v>
      </c>
    </row>
    <row r="184" spans="1:3">
      <c r="A184" t="s">
        <v>450</v>
      </c>
      <c r="B184" t="s">
        <v>479</v>
      </c>
      <c r="C184">
        <v>185</v>
      </c>
    </row>
    <row r="185" spans="1:3">
      <c r="A185" t="s">
        <v>451</v>
      </c>
      <c r="B185" t="s">
        <v>480</v>
      </c>
      <c r="C185">
        <v>186</v>
      </c>
    </row>
    <row r="186" spans="1:3">
      <c r="A186" t="s">
        <v>452</v>
      </c>
      <c r="B186" t="s">
        <v>480</v>
      </c>
      <c r="C186">
        <v>187</v>
      </c>
    </row>
    <row r="187" spans="1:3">
      <c r="A187" t="s">
        <v>453</v>
      </c>
      <c r="B187" t="s">
        <v>479</v>
      </c>
      <c r="C187">
        <v>188</v>
      </c>
    </row>
    <row r="188" spans="1:3">
      <c r="A188" t="s">
        <v>454</v>
      </c>
      <c r="B188" t="s">
        <v>479</v>
      </c>
      <c r="C188">
        <v>189</v>
      </c>
    </row>
    <row r="189" spans="1:3">
      <c r="A189" t="s">
        <v>455</v>
      </c>
      <c r="B189" t="s">
        <v>482</v>
      </c>
      <c r="C189">
        <v>207</v>
      </c>
    </row>
    <row r="190" spans="1:3">
      <c r="A190" t="s">
        <v>456</v>
      </c>
      <c r="B190" t="s">
        <v>482</v>
      </c>
      <c r="C190">
        <v>190</v>
      </c>
    </row>
    <row r="191" spans="1:3">
      <c r="A191" t="s">
        <v>457</v>
      </c>
      <c r="B191" t="s">
        <v>482</v>
      </c>
      <c r="C191">
        <v>191</v>
      </c>
    </row>
    <row r="192" spans="1:3">
      <c r="A192" t="s">
        <v>458</v>
      </c>
      <c r="B192" t="s">
        <v>479</v>
      </c>
      <c r="C192">
        <v>192</v>
      </c>
    </row>
    <row r="193" spans="1:3">
      <c r="A193" t="s">
        <v>459</v>
      </c>
      <c r="B193" t="s">
        <v>479</v>
      </c>
      <c r="C193">
        <v>194</v>
      </c>
    </row>
    <row r="194" spans="1:3">
      <c r="A194" t="s">
        <v>460</v>
      </c>
      <c r="B194" t="s">
        <v>483</v>
      </c>
      <c r="C194">
        <v>195</v>
      </c>
    </row>
    <row r="195" spans="1:3">
      <c r="A195" t="s">
        <v>461</v>
      </c>
      <c r="B195" t="s">
        <v>481</v>
      </c>
      <c r="C195">
        <v>196</v>
      </c>
    </row>
    <row r="196" spans="1:3">
      <c r="A196" t="s">
        <v>462</v>
      </c>
      <c r="B196" t="s">
        <v>479</v>
      </c>
      <c r="C196">
        <v>193</v>
      </c>
    </row>
    <row r="197" spans="1:3">
      <c r="A197" t="s">
        <v>463</v>
      </c>
      <c r="B197" t="s">
        <v>481</v>
      </c>
      <c r="C197">
        <v>206</v>
      </c>
    </row>
    <row r="198" spans="1:3">
      <c r="A198" t="s">
        <v>464</v>
      </c>
      <c r="B198" t="s">
        <v>482</v>
      </c>
      <c r="C198">
        <v>197</v>
      </c>
    </row>
    <row r="199" spans="1:3">
      <c r="A199" t="s">
        <v>465</v>
      </c>
      <c r="B199" t="s">
        <v>482</v>
      </c>
      <c r="C199">
        <v>198</v>
      </c>
    </row>
    <row r="200" spans="1:3">
      <c r="A200" t="s">
        <v>466</v>
      </c>
      <c r="B200" t="s">
        <v>479</v>
      </c>
      <c r="C200">
        <v>199</v>
      </c>
    </row>
    <row r="201" spans="1:3">
      <c r="A201" t="s">
        <v>467</v>
      </c>
      <c r="B201" t="s">
        <v>479</v>
      </c>
      <c r="C201">
        <v>200</v>
      </c>
    </row>
    <row r="202" spans="1:3">
      <c r="A202" t="s">
        <v>468</v>
      </c>
      <c r="B202" t="s">
        <v>479</v>
      </c>
      <c r="C202">
        <v>201</v>
      </c>
    </row>
    <row r="203" spans="1:3">
      <c r="A203" t="s">
        <v>469</v>
      </c>
      <c r="B203" t="s">
        <v>483</v>
      </c>
      <c r="C203">
        <v>202</v>
      </c>
    </row>
    <row r="204" spans="1:3">
      <c r="A204" t="s">
        <v>470</v>
      </c>
      <c r="B204" t="s">
        <v>483</v>
      </c>
      <c r="C204">
        <v>203</v>
      </c>
    </row>
    <row r="205" spans="1:3">
      <c r="A205" t="s">
        <v>471</v>
      </c>
      <c r="B205" t="s">
        <v>479</v>
      </c>
      <c r="C205">
        <v>6</v>
      </c>
    </row>
    <row r="206" spans="1:3">
      <c r="A206" t="s">
        <v>472</v>
      </c>
      <c r="B206" t="s">
        <v>479</v>
      </c>
      <c r="C206">
        <v>16</v>
      </c>
    </row>
    <row r="207" spans="1:3">
      <c r="A207" t="s">
        <v>473</v>
      </c>
      <c r="B207" t="s">
        <v>479</v>
      </c>
      <c r="C207">
        <v>164</v>
      </c>
    </row>
    <row r="208" spans="1:3">
      <c r="A208" t="s">
        <v>474</v>
      </c>
      <c r="B208" t="s">
        <v>479</v>
      </c>
      <c r="C208">
        <v>165</v>
      </c>
    </row>
    <row r="209" spans="1:3">
      <c r="A209" t="s">
        <v>475</v>
      </c>
      <c r="B209" t="s">
        <v>479</v>
      </c>
      <c r="C209">
        <v>166</v>
      </c>
    </row>
    <row r="210" spans="1:3">
      <c r="A210" t="s">
        <v>476</v>
      </c>
      <c r="B210" t="s">
        <v>479</v>
      </c>
      <c r="C210">
        <v>167</v>
      </c>
    </row>
    <row r="211" spans="1:3">
      <c r="A211" t="s">
        <v>477</v>
      </c>
      <c r="B211" t="s">
        <v>479</v>
      </c>
      <c r="C211">
        <v>168</v>
      </c>
    </row>
    <row r="212" spans="1:3">
      <c r="A212" t="s">
        <v>478</v>
      </c>
      <c r="B212" t="s">
        <v>481</v>
      </c>
      <c r="C212">
        <v>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PL2_Horarios</vt:lpstr>
      <vt:lpstr>Docentes_Lista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2025-10-26T18:55:15Z</dcterms:created>
  <dcterms:modified xsi:type="dcterms:W3CDTF">2025-10-26T18:55:15Z</dcterms:modified>
</cp:coreProperties>
</file>