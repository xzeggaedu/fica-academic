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2_Horarios" sheetId="1" r:id="rId1"/>
    <sheet name="Docentes_Lista" sheetId="2" r:id="rId2"/>
  </sheets>
  <calcPr calcId="124519" fullCalcOnLoad="1"/>
</workbook>
</file>

<file path=xl/sharedStrings.xml><?xml version="1.0" encoding="utf-8"?>
<sst xmlns="http://schemas.openxmlformats.org/spreadsheetml/2006/main" count="2663" uniqueCount="651">
  <si>
    <t>No</t>
  </si>
  <si>
    <t>COD_CATE</t>
  </si>
  <si>
    <t>COD_ASIG</t>
  </si>
  <si>
    <t>ASIGNATURA</t>
  </si>
  <si>
    <t>SECCION</t>
  </si>
  <si>
    <t>HORARIO</t>
  </si>
  <si>
    <t>DURACION</t>
  </si>
  <si>
    <t>DIAS</t>
  </si>
  <si>
    <t>MODALIDAD</t>
  </si>
  <si>
    <t>TIT</t>
  </si>
  <si>
    <t>DOCENTE</t>
  </si>
  <si>
    <t>ID_DOCENTE</t>
  </si>
  <si>
    <t>IND</t>
  </si>
  <si>
    <t>FEPI-V</t>
  </si>
  <si>
    <t>Formulación Y Evaluación De Proyectos</t>
  </si>
  <si>
    <t>01</t>
  </si>
  <si>
    <t>00:00-23:59</t>
  </si>
  <si>
    <t>Do-Ju-Lu-Ma-Mi-Sa-Vi</t>
  </si>
  <si>
    <t>AULA VIRTUAL</t>
  </si>
  <si>
    <t>FEPS-V</t>
  </si>
  <si>
    <t>Formulación Y Evaluación De Proyectos (virtual)</t>
  </si>
  <si>
    <t>02</t>
  </si>
  <si>
    <t>ADPI-V</t>
  </si>
  <si>
    <t>Administración De Proyectos (virtual)</t>
  </si>
  <si>
    <t>APR1-V</t>
  </si>
  <si>
    <t>Administración De La Producción I (virtual)</t>
  </si>
  <si>
    <t>COSIN-V</t>
  </si>
  <si>
    <t>Costos Industriales (virtual)</t>
  </si>
  <si>
    <t>DIEP-V</t>
  </si>
  <si>
    <t>Distribución En Planta (virtual)</t>
  </si>
  <si>
    <t>DISI-V</t>
  </si>
  <si>
    <t>Diseño De Sistemas Industriales (virtual)</t>
  </si>
  <si>
    <t>MATE</t>
  </si>
  <si>
    <t>EI-I</t>
  </si>
  <si>
    <t>Estadística Y Probabilidades</t>
  </si>
  <si>
    <t>06:30-08:00</t>
  </si>
  <si>
    <t>90 min</t>
  </si>
  <si>
    <t>Lu-Vi</t>
  </si>
  <si>
    <t>EN LÍNEA</t>
  </si>
  <si>
    <t>18:40-20:10</t>
  </si>
  <si>
    <t>Ju-Ma</t>
  </si>
  <si>
    <t>03</t>
  </si>
  <si>
    <t>16:00-19:00</t>
  </si>
  <si>
    <t>180 min</t>
  </si>
  <si>
    <t>Sa</t>
  </si>
  <si>
    <t>EI-V</t>
  </si>
  <si>
    <t>Estadística Y Probabilidades (virtual)</t>
  </si>
  <si>
    <t>ESTE-E</t>
  </si>
  <si>
    <t>Estadística</t>
  </si>
  <si>
    <t>Mi-Sa</t>
  </si>
  <si>
    <t>04</t>
  </si>
  <si>
    <t>17:00-20:00</t>
  </si>
  <si>
    <t>Vi</t>
  </si>
  <si>
    <t>05</t>
  </si>
  <si>
    <t>ESTE-V</t>
  </si>
  <si>
    <t>Estadística (virtual)</t>
  </si>
  <si>
    <t>ESTR1-V</t>
  </si>
  <si>
    <t>Estudio Del Trabajo I (virtual)</t>
  </si>
  <si>
    <t>ESTR2-V</t>
  </si>
  <si>
    <t>Estudio Del Trabajo II (virtual)</t>
  </si>
  <si>
    <t>ET1Q-V</t>
  </si>
  <si>
    <t>Normas Iso (etc1) (virtual)</t>
  </si>
  <si>
    <t>ET2Q-V</t>
  </si>
  <si>
    <t>Control Estadístico De La Calidad (etc2) (virtual)</t>
  </si>
  <si>
    <t>ETI1I-T</t>
  </si>
  <si>
    <t>Inglés Técnico VI (administración De Inventario)</t>
  </si>
  <si>
    <t>Lu-Mi-Vi</t>
  </si>
  <si>
    <t>ETI1-T</t>
  </si>
  <si>
    <t>Administración De La Producción II</t>
  </si>
  <si>
    <t>ETI1-V</t>
  </si>
  <si>
    <t>Administración De La Producción II (etl1) (virtual)</t>
  </si>
  <si>
    <t>ETI2-V</t>
  </si>
  <si>
    <t>Manejo De Material Y Administración De Almacenes (etl2) (virtual)</t>
  </si>
  <si>
    <t>ETI3I-T</t>
  </si>
  <si>
    <t>Inglés Técnico VIII (gestión Del Transporte)</t>
  </si>
  <si>
    <t>20:30-22:00</t>
  </si>
  <si>
    <t>ETI3-T</t>
  </si>
  <si>
    <t>Modelos De Decisión II</t>
  </si>
  <si>
    <t>Lu-Mi</t>
  </si>
  <si>
    <t>ETI3-V</t>
  </si>
  <si>
    <t>Modelos De Decisión II (etl3) (virtual)</t>
  </si>
  <si>
    <t>FEPII-V</t>
  </si>
  <si>
    <t>FEPP-I</t>
  </si>
  <si>
    <t>13:00-16:00</t>
  </si>
  <si>
    <t>10:00-13:00</t>
  </si>
  <si>
    <t>Do</t>
  </si>
  <si>
    <t>FEPP-V</t>
  </si>
  <si>
    <t>FIS1-V</t>
  </si>
  <si>
    <t>Física I (virtual)</t>
  </si>
  <si>
    <t>FIS2-V</t>
  </si>
  <si>
    <t>Física II (virtual)</t>
  </si>
  <si>
    <t>FIS3-V</t>
  </si>
  <si>
    <t>Física III (virtual)</t>
  </si>
  <si>
    <t>GCYA-T</t>
  </si>
  <si>
    <t>Inglés Técnico VII (gestión De Compras Y Abastecimiento)</t>
  </si>
  <si>
    <t>GESCA-V</t>
  </si>
  <si>
    <t>Gestión De La Calidad (virtual)</t>
  </si>
  <si>
    <t>HISI-V</t>
  </si>
  <si>
    <t>Higiene Y Seguridad Industrial (virtual)</t>
  </si>
  <si>
    <t>INDP-V</t>
  </si>
  <si>
    <t>Investigación Y Desarrollo Del Producto (virtual)</t>
  </si>
  <si>
    <t>MACO-V</t>
  </si>
  <si>
    <t>Manufactura Asistida Por Computadora (virtual)</t>
  </si>
  <si>
    <t>MAT1-T</t>
  </si>
  <si>
    <t>Matemática I</t>
  </si>
  <si>
    <t>08:00-09:30</t>
  </si>
  <si>
    <t>PRESENCIAL</t>
  </si>
  <si>
    <t>09:45-11:15</t>
  </si>
  <si>
    <t>17:00-18:30</t>
  </si>
  <si>
    <t>06</t>
  </si>
  <si>
    <t xml:space="preserve"> Presencial</t>
  </si>
  <si>
    <t>07</t>
  </si>
  <si>
    <t>MAT1-V</t>
  </si>
  <si>
    <t>Matemática I (virtual)</t>
  </si>
  <si>
    <t>MAT2-E</t>
  </si>
  <si>
    <t>Matemática II</t>
  </si>
  <si>
    <t>MAT2I-V</t>
  </si>
  <si>
    <t>Matemática II (virtual)</t>
  </si>
  <si>
    <t>MAT2-T</t>
  </si>
  <si>
    <t>07:00-10:00</t>
  </si>
  <si>
    <t>MAT2-V</t>
  </si>
  <si>
    <t>MAT3-V</t>
  </si>
  <si>
    <t>Matemática III (virtual)</t>
  </si>
  <si>
    <t>MAT4-V</t>
  </si>
  <si>
    <t>Matemática IV (virtual)</t>
  </si>
  <si>
    <t>MATE-E</t>
  </si>
  <si>
    <t>MATE-V</t>
  </si>
  <si>
    <t>MATF-I</t>
  </si>
  <si>
    <t>Matemática Financiera</t>
  </si>
  <si>
    <t>08</t>
  </si>
  <si>
    <t>MATF-V</t>
  </si>
  <si>
    <t>Matemática Financiera (virtual)</t>
  </si>
  <si>
    <t>MODEI-I</t>
  </si>
  <si>
    <t>Inglés Técnico II (modelos De Decisión)</t>
  </si>
  <si>
    <t>MODE-V</t>
  </si>
  <si>
    <t>Modelos De Decisión (virtual)</t>
  </si>
  <si>
    <t>MPRO-I</t>
  </si>
  <si>
    <t>Métodos Probabilísticos</t>
  </si>
  <si>
    <t>MPRO-V</t>
  </si>
  <si>
    <t>Métodos Probabilísticos (virtual)</t>
  </si>
  <si>
    <t>OPFAI-T</t>
  </si>
  <si>
    <t>Inglés Técnico I (operaciones De Fabricación)</t>
  </si>
  <si>
    <t>ORIN-V</t>
  </si>
  <si>
    <t>Organización Industrial (virtual)</t>
  </si>
  <si>
    <t>ORTI-V</t>
  </si>
  <si>
    <t>Orientación Técnica De Ingeniería (virtual)</t>
  </si>
  <si>
    <t>SICAI-T</t>
  </si>
  <si>
    <t>Inglés Técnico V (sistema De Control Administrativo)</t>
  </si>
  <si>
    <t>DG</t>
  </si>
  <si>
    <t>ARAR1-V</t>
  </si>
  <si>
    <t>Artes Gráficas I (virtual)</t>
  </si>
  <si>
    <t>ARAR2-V</t>
  </si>
  <si>
    <t>Artes Gráficas II (virtual)</t>
  </si>
  <si>
    <t>ARQ</t>
  </si>
  <si>
    <t>ARME-AC</t>
  </si>
  <si>
    <t>Arquitectura Y Medio Ambiente</t>
  </si>
  <si>
    <t>18:40-20:40</t>
  </si>
  <si>
    <t>120 min</t>
  </si>
  <si>
    <t>ARTI-V</t>
  </si>
  <si>
    <t>Arte Tipográfico (virtual)</t>
  </si>
  <si>
    <t>CRED-AC</t>
  </si>
  <si>
    <t>Creatividad Editorial</t>
  </si>
  <si>
    <t>CRED-V</t>
  </si>
  <si>
    <t>Creatividad Editorial Gráfica (virtual)</t>
  </si>
  <si>
    <t>CRIM-AC</t>
  </si>
  <si>
    <t>Creatividad En Imagen Corporativa</t>
  </si>
  <si>
    <t>CRPUD-V</t>
  </si>
  <si>
    <t>Creatividad Publicitaria (virtual)</t>
  </si>
  <si>
    <t>DIA2-AC</t>
  </si>
  <si>
    <t>Diseño Ambiental II</t>
  </si>
  <si>
    <t>DIAM-V</t>
  </si>
  <si>
    <t>Diseño De Ambientación Gráfica (virtual)</t>
  </si>
  <si>
    <t>DIAN-DG</t>
  </si>
  <si>
    <t>Diseño De Animación</t>
  </si>
  <si>
    <t>DIAN-V</t>
  </si>
  <si>
    <t>Diseño De Animación (virtual)</t>
  </si>
  <si>
    <t>DIBA-V</t>
  </si>
  <si>
    <t>Dibujo Aplicado (virtual)</t>
  </si>
  <si>
    <t>DIBP-V</t>
  </si>
  <si>
    <t>Dibujo Publicitario (virtual)</t>
  </si>
  <si>
    <t>DIBT-I</t>
  </si>
  <si>
    <t>Dibujo Técnico</t>
  </si>
  <si>
    <t>DIBT-V</t>
  </si>
  <si>
    <t>Dibujo Técnico (virtual)</t>
  </si>
  <si>
    <t>DIG1-DG</t>
  </si>
  <si>
    <t>Diseño Gráfico I</t>
  </si>
  <si>
    <t>DIG1-V</t>
  </si>
  <si>
    <t>Diseño Grafico I (virtual)</t>
  </si>
  <si>
    <t>DIG2-V</t>
  </si>
  <si>
    <t>Diseño Grafico II (virtual)</t>
  </si>
  <si>
    <t>DII1-V</t>
  </si>
  <si>
    <t>Diseño De Interfaces I (virtual)</t>
  </si>
  <si>
    <t>DII2-V</t>
  </si>
  <si>
    <t>Diseño De Interfaces II (virtual)</t>
  </si>
  <si>
    <t>DII3-DG</t>
  </si>
  <si>
    <t>Diseño De Interfaces III</t>
  </si>
  <si>
    <t>DII3-V</t>
  </si>
  <si>
    <t>Diseño De Interfaces III (virtual)</t>
  </si>
  <si>
    <t>DIIM-V</t>
  </si>
  <si>
    <t>Diseño De Imagen Corporativa (virtual)</t>
  </si>
  <si>
    <t>DIIN-V</t>
  </si>
  <si>
    <t>Diseño Infografico (virtual)</t>
  </si>
  <si>
    <t>DIMA-V</t>
  </si>
  <si>
    <t>Diseño De Marketing (virtual)</t>
  </si>
  <si>
    <t>DIMU-V</t>
  </si>
  <si>
    <t>Diseño De Multimedia (virtual)</t>
  </si>
  <si>
    <t>DINA-V</t>
  </si>
  <si>
    <t>Dibujo Natural (virtual)</t>
  </si>
  <si>
    <t>EDGR-V</t>
  </si>
  <si>
    <t>Edición Gráfica Para Televisión (virtual)</t>
  </si>
  <si>
    <t>ETPR-AC</t>
  </si>
  <si>
    <t>Técnicas De Presentación</t>
  </si>
  <si>
    <t>EVA1-AC</t>
  </si>
  <si>
    <t>Evolución De La Arquitectura I</t>
  </si>
  <si>
    <t>EXAR-V</t>
  </si>
  <si>
    <t>Expresión Arquitectónica (virtual)</t>
  </si>
  <si>
    <t>FOA2-V</t>
  </si>
  <si>
    <t>Fotografía Artística II (virtual)</t>
  </si>
  <si>
    <t>FOAR-V</t>
  </si>
  <si>
    <t>Fotografía Artística I (virtual)</t>
  </si>
  <si>
    <t>HIDI-V</t>
  </si>
  <si>
    <t>Historia Del Diseño Grafico (virtual)</t>
  </si>
  <si>
    <t>ILAP-V</t>
  </si>
  <si>
    <t>Ilustración Aplicada (virtual)</t>
  </si>
  <si>
    <t>ILUS-V</t>
  </si>
  <si>
    <t>Ilustración (virtual)</t>
  </si>
  <si>
    <t>IMPR-V</t>
  </si>
  <si>
    <t>Impresión Y Producción Gráfica (virtual)</t>
  </si>
  <si>
    <t>MEPU-AC</t>
  </si>
  <si>
    <t>Medios Publicitarios Gráficos</t>
  </si>
  <si>
    <t>MEPU-V</t>
  </si>
  <si>
    <t>Medios Publicitarios Gráficos (virtual)</t>
  </si>
  <si>
    <t>PAAR-AC</t>
  </si>
  <si>
    <t>Patrimonio Arquitectónico</t>
  </si>
  <si>
    <t>PRA2A-V</t>
  </si>
  <si>
    <t>Presentación Arquitectónica II (virtual)</t>
  </si>
  <si>
    <t>SEIM-DG</t>
  </si>
  <si>
    <t>Semiótica De La Imagen</t>
  </si>
  <si>
    <t>SEIM-V</t>
  </si>
  <si>
    <t>Semiótica De La Imagen (virtual)</t>
  </si>
  <si>
    <t>TADI-V</t>
  </si>
  <si>
    <t>Taller De Diseño Y Modelado (virtual)</t>
  </si>
  <si>
    <t>TAI2-AC</t>
  </si>
  <si>
    <t>Taller Integral II</t>
  </si>
  <si>
    <t>Ju-Ma-Sa</t>
  </si>
  <si>
    <t>TAI2-V</t>
  </si>
  <si>
    <t>Taller Integral II (virtual)</t>
  </si>
  <si>
    <t>TAI4-AC</t>
  </si>
  <si>
    <t>Taller Integral IV</t>
  </si>
  <si>
    <t>TAI4-V</t>
  </si>
  <si>
    <t>Taller Integral IV (virtual)</t>
  </si>
  <si>
    <t>TAPO-V</t>
  </si>
  <si>
    <t>Taller De Portafolio (virtual)</t>
  </si>
  <si>
    <t>TCMD-DG</t>
  </si>
  <si>
    <t>Taller De Creatividad Y Métodos De Diseño</t>
  </si>
  <si>
    <t>TCMD-V</t>
  </si>
  <si>
    <t>Taller De Creatividad Y Métodos De Diseño (virtual)</t>
  </si>
  <si>
    <t>TECG-V</t>
  </si>
  <si>
    <t>Teoría De La Comunicación Gráfica (virtual)</t>
  </si>
  <si>
    <t>TED1-AC</t>
  </si>
  <si>
    <t>Tecnología Digital I</t>
  </si>
  <si>
    <t>TED2-V</t>
  </si>
  <si>
    <t>Tecnología Digital II (virtual)</t>
  </si>
  <si>
    <t>TED3-V</t>
  </si>
  <si>
    <t>Tecnología Digital III (virtual)</t>
  </si>
  <si>
    <t>TEDI-V</t>
  </si>
  <si>
    <t>Tecnología Digital I (virtual)</t>
  </si>
  <si>
    <t>TEPR-V</t>
  </si>
  <si>
    <t>Técnicas De Presentación Gráfica (virtual)</t>
  </si>
  <si>
    <t>URB-V</t>
  </si>
  <si>
    <t>Urbanismo (virtual)</t>
  </si>
  <si>
    <t>CAL3-I</t>
  </si>
  <si>
    <t>Matemática IV</t>
  </si>
  <si>
    <t>CYCOI-T</t>
  </si>
  <si>
    <t>Inglés Técnico III (contabilidad De Costos)</t>
  </si>
  <si>
    <t>DIBA-I</t>
  </si>
  <si>
    <t>Dibujo Aplicado</t>
  </si>
  <si>
    <t>17:00-20:10</t>
  </si>
  <si>
    <t>190 min</t>
  </si>
  <si>
    <t>ESTP-I</t>
  </si>
  <si>
    <t>Estadística I</t>
  </si>
  <si>
    <t>ETI2-T</t>
  </si>
  <si>
    <t>Manejo De Materiales Y Administración De Almacenes</t>
  </si>
  <si>
    <t>FEPP-B</t>
  </si>
  <si>
    <t>FIS1-I</t>
  </si>
  <si>
    <t>Física I</t>
  </si>
  <si>
    <t>FIS2-I</t>
  </si>
  <si>
    <t>Física II</t>
  </si>
  <si>
    <t>MAT3-T</t>
  </si>
  <si>
    <t>Matemática III</t>
  </si>
  <si>
    <t>17:0-18:30</t>
  </si>
  <si>
    <t>ORTI-I</t>
  </si>
  <si>
    <t>Orientación Técnica De Ingeniería</t>
  </si>
  <si>
    <t>PEST-H</t>
  </si>
  <si>
    <t>Psico-estadística</t>
  </si>
  <si>
    <t>SIPRI-T</t>
  </si>
  <si>
    <t>Inglés Técnico IV (sistemas Integrados Administrativos)</t>
  </si>
  <si>
    <t>ARAR2-DG</t>
  </si>
  <si>
    <t>Artes Gráficas II</t>
  </si>
  <si>
    <t>ARAR-AC</t>
  </si>
  <si>
    <t>Artes Gráficas I</t>
  </si>
  <si>
    <t>ARTI-DG</t>
  </si>
  <si>
    <t>Arte Tipográfico</t>
  </si>
  <si>
    <t>DIG2-DG</t>
  </si>
  <si>
    <t>Diseño Gráfico II</t>
  </si>
  <si>
    <t>DIIN-DG</t>
  </si>
  <si>
    <t>Diseño Infográfico</t>
  </si>
  <si>
    <t>DINA-DG</t>
  </si>
  <si>
    <t>Dibujo Natural</t>
  </si>
  <si>
    <t>ESA2-AC</t>
  </si>
  <si>
    <t>Estabilidad Y Asismicidad II</t>
  </si>
  <si>
    <t>EVA2-AC</t>
  </si>
  <si>
    <t>Evolución De La Arquitectura II</t>
  </si>
  <si>
    <t>18:40-20:00</t>
  </si>
  <si>
    <t>80 min</t>
  </si>
  <si>
    <t>FEPA-I</t>
  </si>
  <si>
    <t>GEDE-AC</t>
  </si>
  <si>
    <t>Geometría Descriptiva</t>
  </si>
  <si>
    <t>HIDI-AC</t>
  </si>
  <si>
    <t>Historia Del Diseño Gráfico</t>
  </si>
  <si>
    <t>REMA-AC</t>
  </si>
  <si>
    <t>Resistencia De Materiales</t>
  </si>
  <si>
    <t>TADI-AC</t>
  </si>
  <si>
    <t>Taller De Diseño Bitridimensional</t>
  </si>
  <si>
    <t>TADT-DG</t>
  </si>
  <si>
    <t>Taller De Diseño Tridimensional</t>
  </si>
  <si>
    <t>TED2-AC</t>
  </si>
  <si>
    <t>Tecnología Digital II</t>
  </si>
  <si>
    <t>ADPI-I</t>
  </si>
  <si>
    <t>Administración De Proyectos</t>
  </si>
  <si>
    <t>FIS3-I</t>
  </si>
  <si>
    <t>Física III</t>
  </si>
  <si>
    <t>INVM-T</t>
  </si>
  <si>
    <t>Investigación De Mercados</t>
  </si>
  <si>
    <t>MAT2-I</t>
  </si>
  <si>
    <t>MODE-I</t>
  </si>
  <si>
    <t>Modelos De Decisión</t>
  </si>
  <si>
    <t>ADCO-AC</t>
  </si>
  <si>
    <t>Administración De La Construcción</t>
  </si>
  <si>
    <t>DIAM-DG</t>
  </si>
  <si>
    <t>Diseño De Ambientación Gráfica</t>
  </si>
  <si>
    <t>DIBP-H</t>
  </si>
  <si>
    <t>Dibujo Publicitario</t>
  </si>
  <si>
    <t>DIMU-DG</t>
  </si>
  <si>
    <t>Diseño Multimedia</t>
  </si>
  <si>
    <t>TED3-AC</t>
  </si>
  <si>
    <t>Tecnología Digital III</t>
  </si>
  <si>
    <t>CDC1-I</t>
  </si>
  <si>
    <t>Contabilidad Y Costos</t>
  </si>
  <si>
    <t>FFIS-I</t>
  </si>
  <si>
    <t>Fundamentos De Física Aplicada</t>
  </si>
  <si>
    <t>GCYA-I</t>
  </si>
  <si>
    <t>Gestión De Compras Y Abastecimiento</t>
  </si>
  <si>
    <t>FEPS-I</t>
  </si>
  <si>
    <t>ADPI-DG</t>
  </si>
  <si>
    <t>DIEP-I</t>
  </si>
  <si>
    <t>Distribución En Planta</t>
  </si>
  <si>
    <t>ESTR-I</t>
  </si>
  <si>
    <t>Estudio Del Trabajo</t>
  </si>
  <si>
    <t>ET1Q-T</t>
  </si>
  <si>
    <t>Normas Iso (et)</t>
  </si>
  <si>
    <t>ET3Q-T</t>
  </si>
  <si>
    <t>Auditoría De Gestión De La Calidad (etc3)</t>
  </si>
  <si>
    <t>FEPI-I</t>
  </si>
  <si>
    <t>FPPP-I</t>
  </si>
  <si>
    <t>HISI-I</t>
  </si>
  <si>
    <t>Admón. De La Higiene Y Seguridad Industrial</t>
  </si>
  <si>
    <t>INDP-T</t>
  </si>
  <si>
    <t>Investigación Y Desarrollo Del Producto</t>
  </si>
  <si>
    <t>OPFA-I</t>
  </si>
  <si>
    <t>Operac. De Fabricación</t>
  </si>
  <si>
    <t>CRPU-AC</t>
  </si>
  <si>
    <t>Creatividad Publicitaria</t>
  </si>
  <si>
    <t>DII1-DG</t>
  </si>
  <si>
    <t>Diseño De Interfaces I</t>
  </si>
  <si>
    <t>DIMA-DG</t>
  </si>
  <si>
    <t>Diseño De Marketing</t>
  </si>
  <si>
    <t>EVA3-AC</t>
  </si>
  <si>
    <t>Evolución De La Arquitectura III</t>
  </si>
  <si>
    <t>FOAR2-AC</t>
  </si>
  <si>
    <t>Fotografía Artística II</t>
  </si>
  <si>
    <t>FOAR-AC</t>
  </si>
  <si>
    <t>Fotografía Artística</t>
  </si>
  <si>
    <t>ILUS-DG</t>
  </si>
  <si>
    <t>Ilustración</t>
  </si>
  <si>
    <t>POAR-AC</t>
  </si>
  <si>
    <t>Portafolio Arquitectónico</t>
  </si>
  <si>
    <t>TAI6-AC</t>
  </si>
  <si>
    <t>Taller Integral VI</t>
  </si>
  <si>
    <t>13:45-16:00-07:00-09:15</t>
  </si>
  <si>
    <t>Do-Sa</t>
  </si>
  <si>
    <t>TAI8-AC</t>
  </si>
  <si>
    <t>Taller Integral VIII</t>
  </si>
  <si>
    <t>TECG-DG</t>
  </si>
  <si>
    <t>Teoría De La Comunicación Gráfica</t>
  </si>
  <si>
    <t>TESE-AC</t>
  </si>
  <si>
    <t>Técnicas Serigráficas</t>
  </si>
  <si>
    <t>TOP1-I</t>
  </si>
  <si>
    <t>Topografía I</t>
  </si>
  <si>
    <t>APR1-I</t>
  </si>
  <si>
    <t>Administración De La Producción I</t>
  </si>
  <si>
    <t>CDEC-I</t>
  </si>
  <si>
    <t>Costos Industriales</t>
  </si>
  <si>
    <t>ET2Q-T</t>
  </si>
  <si>
    <t>Control Estadístico De La Calidad (etc2)</t>
  </si>
  <si>
    <t>ETMO-I</t>
  </si>
  <si>
    <t>Estudio Del Trabajo II</t>
  </si>
  <si>
    <t>FEPI-DG</t>
  </si>
  <si>
    <t>Desarrollo De Proyectos</t>
  </si>
  <si>
    <t>FES1-AC</t>
  </si>
  <si>
    <t>Fundamentos Estructurales I</t>
  </si>
  <si>
    <t>FINI-T</t>
  </si>
  <si>
    <t>Finanzas Industriales</t>
  </si>
  <si>
    <t>GSAC-T</t>
  </si>
  <si>
    <t>Gestión De Servicio Al Cliente</t>
  </si>
  <si>
    <t>COA1-AC</t>
  </si>
  <si>
    <t>Construcción Aplicada I</t>
  </si>
  <si>
    <t>COI1-AC</t>
  </si>
  <si>
    <t>Construcción E Instalaciones I</t>
  </si>
  <si>
    <t>DII2-DG</t>
  </si>
  <si>
    <t>Diseño De Interfaces II</t>
  </si>
  <si>
    <t>EDGR-DG</t>
  </si>
  <si>
    <t>Edición Gráfica Para T.V.</t>
  </si>
  <si>
    <t>ILAP-DG</t>
  </si>
  <si>
    <t>Ilustración Aplicada</t>
  </si>
  <si>
    <t>IMPR-DG</t>
  </si>
  <si>
    <t>Impresión Y Producción Gráfica</t>
  </si>
  <si>
    <t>PRAR2-AC</t>
  </si>
  <si>
    <t>Presentación Arquitectónica II</t>
  </si>
  <si>
    <t>TAPO-DG</t>
  </si>
  <si>
    <t>Taller De Portafolio</t>
  </si>
  <si>
    <t>DOCENTE (Clave)</t>
  </si>
  <si>
    <t>TITULO</t>
  </si>
  <si>
    <t>Adalberto Cortez Portillo</t>
  </si>
  <si>
    <t>Adolfo José Araujo Jaimes</t>
  </si>
  <si>
    <t>Aldo Rene Guevara Ramos</t>
  </si>
  <si>
    <t>Alfredo Omar Rodriguez Torres</t>
  </si>
  <si>
    <t>Alicia Del Carmen Martinez De Lopez</t>
  </si>
  <si>
    <t>Amílcar Alfredo Chavarria Cruz</t>
  </si>
  <si>
    <t>Ana Carolina Aguilar De Ramírez</t>
  </si>
  <si>
    <t>Ana Cecilia De Ramirez</t>
  </si>
  <si>
    <t>Ana Elizabeth Villalta Lopez</t>
  </si>
  <si>
    <t>Ana Marcela Argueta Meléndez</t>
  </si>
  <si>
    <t>Ana María Alvarado De Aguilar</t>
  </si>
  <si>
    <t>Ana Patricia Vásquez Cruz</t>
  </si>
  <si>
    <t>Antonio Adalberto Hurtado Martínez</t>
  </si>
  <si>
    <t>Aníbal Alfredo Cortez Portillo</t>
  </si>
  <si>
    <t>Aníbal Hernandez</t>
  </si>
  <si>
    <t>Aracely Pérez De Hernández</t>
  </si>
  <si>
    <t>Armando De Jesus Lopez</t>
  </si>
  <si>
    <t>Augusto Antonio Villalta Aguilar</t>
  </si>
  <si>
    <t>Blanca Estela Quintanilla De Aguilar</t>
  </si>
  <si>
    <t>Boris Ivan Lemus Rodriguez</t>
  </si>
  <si>
    <t>Carlos Alberto Calderon Flores</t>
  </si>
  <si>
    <t>Carlos Alberto Guevara Ramos</t>
  </si>
  <si>
    <t>Carlos Edgardo Vasquez Espino</t>
  </si>
  <si>
    <t>Carlos Marvin Amaya Vásquez</t>
  </si>
  <si>
    <t>Carlos Roberto Monrroy Alfaro</t>
  </si>
  <si>
    <t>Carlos Rodrigo Ayala Alvarado</t>
  </si>
  <si>
    <t>Carmen Estela Sanchez Rosales</t>
  </si>
  <si>
    <t>Carmen Verónica Serrano</t>
  </si>
  <si>
    <t>Cecilia guadalupe Méndez de Romero</t>
  </si>
  <si>
    <t>Cira Jazmine Alas Alvarenga</t>
  </si>
  <si>
    <t>Claudia Lissette Rodriguez De Dimas</t>
  </si>
  <si>
    <t>César Antonio Huezo Hernandez</t>
  </si>
  <si>
    <t>César David Vallecillo Guardado</t>
  </si>
  <si>
    <t>César Omar Ramos Vides</t>
  </si>
  <si>
    <t>Daniel Neftali Ramírez Salazar</t>
  </si>
  <si>
    <t>Daniel Orlando Argueta Portillo</t>
  </si>
  <si>
    <t>Daniel Samael Amaya Lopez</t>
  </si>
  <si>
    <t>David Alexander Segura Hernandez</t>
  </si>
  <si>
    <t>David Armando García Pacheco</t>
  </si>
  <si>
    <t>David Roberto Quinteros Villalobos</t>
  </si>
  <si>
    <t>Delmy Yamileth Molina Rodriguez</t>
  </si>
  <si>
    <t>Delmy Zuleyma Ceron Martínez</t>
  </si>
  <si>
    <t>Diana Carolina Orellana Orellana</t>
  </si>
  <si>
    <t>Diana Celine Gómez Aguilar</t>
  </si>
  <si>
    <t>Diego Rigoberto Aquino Perez</t>
  </si>
  <si>
    <t>Edgar Geovanny Gomez Hernández</t>
  </si>
  <si>
    <t>Edgar Rafael Cuellar López</t>
  </si>
  <si>
    <t>Edgar Ricardo Mendoza Hernández</t>
  </si>
  <si>
    <t>Eduardo Alfredo Montoya Giron</t>
  </si>
  <si>
    <t>Edwin Antonio Martinez</t>
  </si>
  <si>
    <t>Edwin Osvaldo Melgar Fuentes</t>
  </si>
  <si>
    <t>Elba Yamileth Membreño Bernal</t>
  </si>
  <si>
    <t>Elmer Mauricio Reyes Ruiz</t>
  </si>
  <si>
    <t>Erick Alberto Morales Reyes</t>
  </si>
  <si>
    <t>Erick Raúl Martínez Melendez</t>
  </si>
  <si>
    <t>Estefany Patricia Perez Lue</t>
  </si>
  <si>
    <t>Evelin Yamileth Saravia Arce</t>
  </si>
  <si>
    <t>Ever Alfredo Guzmán Alfaro</t>
  </si>
  <si>
    <t>Ever Rene Ramírez Ramos</t>
  </si>
  <si>
    <t>Fabio Ernesto Escobar Reyes</t>
  </si>
  <si>
    <t>Felix Alberto Alfaro Melendez</t>
  </si>
  <si>
    <t>Francisco Antonio De La O Quintanilla</t>
  </si>
  <si>
    <t>Francisco Eduardo Peraza Molina</t>
  </si>
  <si>
    <t>Francisco Javier Orellana</t>
  </si>
  <si>
    <t>Fredy Armando Calderón Valenzuela</t>
  </si>
  <si>
    <t>Gabriel Alejandro Domínguez</t>
  </si>
  <si>
    <t>Gabriel Ernesto Gómez Marroquin</t>
  </si>
  <si>
    <t>Gabriela Marisol Domínguez Hernández</t>
  </si>
  <si>
    <t>Genaro Antonio Hernández Lemus</t>
  </si>
  <si>
    <t>German Omar Lima Molina</t>
  </si>
  <si>
    <t>Gerson Guillermo Rivas Lopez</t>
  </si>
  <si>
    <t>Gladys Patricia Serrano De Mejía</t>
  </si>
  <si>
    <t>Gladys Verónica Chavarría De Molina</t>
  </si>
  <si>
    <t>Gloria Elizabeth Chavez De Castillo</t>
  </si>
  <si>
    <t>Gustavo Adolfo Cortez Ramirez</t>
  </si>
  <si>
    <t>Halmhar Vladimir Rosales Díaz</t>
  </si>
  <si>
    <t>Hector David Larios Ayala</t>
  </si>
  <si>
    <t>Hermes Ernesto Guevara</t>
  </si>
  <si>
    <t>Hugo Ernesto Chavez Aguilar</t>
  </si>
  <si>
    <t>Humberto Ismael De La O Hernández</t>
  </si>
  <si>
    <t>Héctor David Rivera Rodríguez</t>
  </si>
  <si>
    <t>Ileana Margarita Dominguez Fuentes</t>
  </si>
  <si>
    <t>Ilsy Albetia Peñate De Monge</t>
  </si>
  <si>
    <t>Ingrid Elizabeth Vides Melendez</t>
  </si>
  <si>
    <t>Irvin Alberto Chinchilla Alvarez</t>
  </si>
  <si>
    <t>Irvin Elenilson Ramos Escobar</t>
  </si>
  <si>
    <t>Jaime Alberto Calderon Hernández</t>
  </si>
  <si>
    <t>Jaime Alexander López Ventura</t>
  </si>
  <si>
    <t>Jaime Omar Avalos Mendoza</t>
  </si>
  <si>
    <t>Jaime Omar Rivas Gomez</t>
  </si>
  <si>
    <t>Jairo Edgardo Herrera Pereira</t>
  </si>
  <si>
    <t>Jenny Abigail Guevara García</t>
  </si>
  <si>
    <t>Jesús Amílcar Rivas Flores</t>
  </si>
  <si>
    <t>Jorge Alberto Arana Alvarez</t>
  </si>
  <si>
    <t>Jorge Ernesto Aguilar Carpio</t>
  </si>
  <si>
    <t>Josué Jonathan Martinez Flores</t>
  </si>
  <si>
    <t>José Alberto Ramos Rivera</t>
  </si>
  <si>
    <t>José Armando Menjivar Argueta</t>
  </si>
  <si>
    <t>José David Orellana Mendoza</t>
  </si>
  <si>
    <t>José Ernesto Chavarria Chavez</t>
  </si>
  <si>
    <t>José Ernesto Majano Vasquez</t>
  </si>
  <si>
    <t>José Francisco Ramirez</t>
  </si>
  <si>
    <t>José Gustavo Giron Paz</t>
  </si>
  <si>
    <t>José Juan Marroquin De León</t>
  </si>
  <si>
    <t>José Luis Martínez Rivera</t>
  </si>
  <si>
    <t>José Manuel Gomez Chavez</t>
  </si>
  <si>
    <t>José Mario Aguilar Orellana</t>
  </si>
  <si>
    <t>José Mauricio Rivera Mejía</t>
  </si>
  <si>
    <t>José Oswaldo Barrera Montez</t>
  </si>
  <si>
    <t>José Rigoberto Salguero Perdomo</t>
  </si>
  <si>
    <t>José Roberto Linares Peña</t>
  </si>
  <si>
    <t>José Roberto Navarrete Rivera</t>
  </si>
  <si>
    <t>Juan Francisco Espinoza Escobar</t>
  </si>
  <si>
    <t>Juan Pablo Baires Ponce</t>
  </si>
  <si>
    <t>Julia Cristina Castro De Cornejo</t>
  </si>
  <si>
    <t>Julio Ernesto Escobar Marroquin</t>
  </si>
  <si>
    <t>Julio Ernesto Luna Chavez</t>
  </si>
  <si>
    <t>Julio Ernesto Zelaya Peraza</t>
  </si>
  <si>
    <t>Karla Marcela Bolaños Vides</t>
  </si>
  <si>
    <t>Katty Estela Hernández De Martínez</t>
  </si>
  <si>
    <t>Kenneth Alexander López Villatoro</t>
  </si>
  <si>
    <t>Kesia Astrid Mejía Valladares</t>
  </si>
  <si>
    <t>Lilian Del Carmen Hernandez De Guerrero</t>
  </si>
  <si>
    <t>Lilian Noemí romero de Leiva</t>
  </si>
  <si>
    <t>Luis Alfredo Arroyo Perez</t>
  </si>
  <si>
    <t>Luis Alonso Hernandez Hernandez</t>
  </si>
  <si>
    <t>Luis Ernesto Lemus Molina</t>
  </si>
  <si>
    <t>Luis Fernando Mejía Flores</t>
  </si>
  <si>
    <t>Luis Napoleón Rodríguez</t>
  </si>
  <si>
    <t>Manuel De Jesús Cardoza Hernández</t>
  </si>
  <si>
    <t>Marcia Beatriz Miranda Aguiñada</t>
  </si>
  <si>
    <t>Marco Antonio Rivas Lopez</t>
  </si>
  <si>
    <t>Marco Tulio Valdivieso Portillo</t>
  </si>
  <si>
    <t>Marcos Ernesto Méndez Zepeda</t>
  </si>
  <si>
    <t>Margarita Lisseth Hernandez Alfaro</t>
  </si>
  <si>
    <t>Mario Alberto Chinchilla Alvarez</t>
  </si>
  <si>
    <t>Mario Alberto Orellana Valle</t>
  </si>
  <si>
    <t>Mario Ernesto Mejía Sibrián</t>
  </si>
  <si>
    <t>Mario Francisco Mendez Zepeda</t>
  </si>
  <si>
    <t>Mario José Rodríguez García</t>
  </si>
  <si>
    <t>Martha Cecilia Molina Vásquez De Menjivar</t>
  </si>
  <si>
    <t>Martha Eugenia Hernández Arévalo</t>
  </si>
  <si>
    <t>Martha Lilian Martínez De Ramos</t>
  </si>
  <si>
    <t>Marvil Elenilson Hernández Montoya</t>
  </si>
  <si>
    <t>María De Los Ángeles Aguilar De Alvarado</t>
  </si>
  <si>
    <t>María José Callejas Vaquerano</t>
  </si>
  <si>
    <t>Mauricio Ernesto Henríquez Ramos</t>
  </si>
  <si>
    <t>Mauricio Orlando Chinchilla Burgos</t>
  </si>
  <si>
    <t>Max Ernesto Molina Morales</t>
  </si>
  <si>
    <t>Maximino Herrera Hernández</t>
  </si>
  <si>
    <t>Mayra Arely Marroquin De Perez</t>
  </si>
  <si>
    <t>Maíra Elizabeth Chacón Orellana</t>
  </si>
  <si>
    <t>Mercedes Haydee Lopez De Rivas</t>
  </si>
  <si>
    <t>Miguel Ángel Galdamez Guerrero</t>
  </si>
  <si>
    <t>Milagro Del Carmen Arteaga De Marroquin</t>
  </si>
  <si>
    <t>Milton Antonio García Gómez</t>
  </si>
  <si>
    <t>Milton Armando Alvarado Vasquez</t>
  </si>
  <si>
    <t>Moisés Humberto Martínez Ventura</t>
  </si>
  <si>
    <t>Neftali Salazar Herrera</t>
  </si>
  <si>
    <t>Nelson Eduardo Flores</t>
  </si>
  <si>
    <t>Nelson Raúl Vásquez Flores</t>
  </si>
  <si>
    <t>Noe Elias Rodriguez Merlos</t>
  </si>
  <si>
    <t>Noeydi Del Carmen Calderon Aguirre</t>
  </si>
  <si>
    <t>Noé Elías Rodríguez Merlos</t>
  </si>
  <si>
    <t>Néstor Rene Mendoza Perez</t>
  </si>
  <si>
    <t>Odir Arquimides Chacon Luna</t>
  </si>
  <si>
    <t>Orlando Enrique Anaya Batres</t>
  </si>
  <si>
    <t>Pablo Ernesto Martinez Canales</t>
  </si>
  <si>
    <t>Ramon Ernesto Pineda Quijano</t>
  </si>
  <si>
    <t>Raúl Ernesto Reyes Guardado</t>
  </si>
  <si>
    <t>Raúl Ernesto Villalta Morales</t>
  </si>
  <si>
    <t>Rebeca Elizabeth Orellana De Lopez</t>
  </si>
  <si>
    <t>Ricardo Edgardo Valle Valencia</t>
  </si>
  <si>
    <t>Ricardo Javier Hernández Chávez</t>
  </si>
  <si>
    <t>Rita Hercilia Araujo De Melendez</t>
  </si>
  <si>
    <t>Roberto Carlos Rivas Escobar</t>
  </si>
  <si>
    <t>Roberto Carlos Zepeda Orellana</t>
  </si>
  <si>
    <t>Roberto Ernesto Cubías Mejía</t>
  </si>
  <si>
    <t>Roberto Hernan Orellana Guevara</t>
  </si>
  <si>
    <t>Rodolfo Antonio Rivas Lopez</t>
  </si>
  <si>
    <t>Rodrigo Moisés Maravilla Hernández</t>
  </si>
  <si>
    <t>Román Wilfredo Cabezas Mendez</t>
  </si>
  <si>
    <t>Rony Alexander Sibrian Arévalo</t>
  </si>
  <si>
    <t>Rosa Lidia Rivera De Lopez</t>
  </si>
  <si>
    <t>Rosa María Melendez Crespín</t>
  </si>
  <si>
    <t>Rubén Alfredo Gómez López</t>
  </si>
  <si>
    <t>Rubén Ernesto Sandoval Morejón</t>
  </si>
  <si>
    <t>Sandra Maritza Cantanero</t>
  </si>
  <si>
    <t>Saúl Alexander Ortiz Hernández</t>
  </si>
  <si>
    <t>Sergio Mario Arteaga Velasquez</t>
  </si>
  <si>
    <t>Sergio Roberto Álvarez Carlos</t>
  </si>
  <si>
    <t>Virgilio Miguel Acevedo Mendez</t>
  </si>
  <si>
    <t>Virna Larisa Álvarez Carlos De Aguilar</t>
  </si>
  <si>
    <t>Vladimir Godofredo Calderon Cruz</t>
  </si>
  <si>
    <t>Víctor Danilo Castro Rivera</t>
  </si>
  <si>
    <t>Víctor Manuel Antonio Rivas Merino</t>
  </si>
  <si>
    <t>Walter Ernesto Martínez Molina</t>
  </si>
  <si>
    <t>Wilber Evenor Gomez Rivas</t>
  </si>
  <si>
    <t>William Alexander Coreas Rodríguez</t>
  </si>
  <si>
    <t>Wilson Armando Orellana Alas</t>
  </si>
  <si>
    <t>Wolfgang Bladimir Martínez Rivera</t>
  </si>
  <si>
    <t>Yessica Maribel Serrano De Lima</t>
  </si>
  <si>
    <t>Zenobia Grimana Ardón De Perez</t>
  </si>
  <si>
    <t>Álvaro Javier Gomez Galdamez</t>
  </si>
  <si>
    <t>Ángel Alfredo Calderon Rodriguez</t>
  </si>
  <si>
    <t>Óscar Alberto Aguirre Guerrero</t>
  </si>
  <si>
    <t>Óscar Alberto Escobar Lopez</t>
  </si>
  <si>
    <t>Óscar Alberto Rivera Alvarez</t>
  </si>
  <si>
    <t>Óscar Alfredo Montoya Giron</t>
  </si>
  <si>
    <t>Óscar Emilio Molina Aguila</t>
  </si>
  <si>
    <t>Óscar Geovanni Álvarez Carlos</t>
  </si>
  <si>
    <t>Ing.</t>
  </si>
  <si>
    <t>Lda.</t>
  </si>
  <si>
    <t>Arq.</t>
  </si>
  <si>
    <t>Lic.</t>
  </si>
  <si>
    <t>Inga.</t>
  </si>
  <si>
    <t>Tec.</t>
  </si>
  <si>
    <t>Dr.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</si>
</sst>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B1539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3"/>
  <sheetViews>
    <sheetView tabSelected="1" workbookViewId="0"/>
  </sheetViews>
  <sheetFormatPr defaultRowHeight="15"/>
  <cols>
    <col min="1" max="1" width="5.7109375" customWidth="1"/>
    <col min="2" max="3" width="12.7109375" customWidth="1"/>
    <col min="4" max="4" width="60.7109375" customWidth="1"/>
    <col min="5" max="5" width="10.7109375" customWidth="1"/>
    <col min="6" max="6" width="15.7109375" customWidth="1"/>
    <col min="7" max="7" width="12.7109375" customWidth="1"/>
    <col min="8" max="8" width="25.7109375" customWidth="1"/>
    <col min="9" max="9" width="16.7109375" customWidth="1"/>
    <col min="10" max="10" width="6.7109375" customWidth="1"/>
    <col min="11" max="11" width="40.7109375" customWidth="1"/>
    <col min="12" max="12" width="15.7109375" hidden="1" customWidth="1"/>
  </cols>
  <sheetData>
    <row r="1" spans="1:1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 customHeight="1">
      <c r="A2" s="2">
        <v>1</v>
      </c>
      <c r="B2" s="3" t="s">
        <v>12</v>
      </c>
      <c r="C2" s="3" t="s">
        <v>13</v>
      </c>
      <c r="D2" s="4" t="s">
        <v>14</v>
      </c>
      <c r="E2" s="3" t="s">
        <v>15</v>
      </c>
      <c r="F2" s="3" t="s">
        <v>16</v>
      </c>
      <c r="G2" s="3"/>
      <c r="H2" s="4" t="s">
        <v>17</v>
      </c>
      <c r="I2" s="4" t="s">
        <v>18</v>
      </c>
      <c r="J2" s="5">
        <f>IFERROR(VLOOKUP(K2,Docentes_Lista!$A$2:$C$212,2,FALSE),"")</f>
        <v>0</v>
      </c>
      <c r="K2" s="4"/>
      <c r="L2" s="2">
        <f>IFERROR(VLOOKUP(K2,Docentes_Lista!$A$2:$C$212,3,FALSE),"")</f>
        <v>0</v>
      </c>
    </row>
    <row r="3" spans="1:12" ht="30" customHeight="1">
      <c r="A3" s="2">
        <v>2</v>
      </c>
      <c r="B3" s="3" t="s">
        <v>12</v>
      </c>
      <c r="C3" s="3" t="s">
        <v>19</v>
      </c>
      <c r="D3" s="4" t="s">
        <v>20</v>
      </c>
      <c r="E3" s="3" t="s">
        <v>15</v>
      </c>
      <c r="F3" s="3" t="s">
        <v>16</v>
      </c>
      <c r="G3" s="3"/>
      <c r="H3" s="4" t="s">
        <v>17</v>
      </c>
      <c r="I3" s="4" t="s">
        <v>18</v>
      </c>
      <c r="J3" s="5">
        <f>IFERROR(VLOOKUP(K3,Docentes_Lista!$A$2:$C$212,2,FALSE),"")</f>
        <v>0</v>
      </c>
      <c r="K3" s="4"/>
      <c r="L3" s="2">
        <f>IFERROR(VLOOKUP(K3,Docentes_Lista!$A$2:$C$212,3,FALSE),"")</f>
        <v>0</v>
      </c>
    </row>
    <row r="4" spans="1:12" ht="30" customHeight="1">
      <c r="A4" s="2">
        <v>3</v>
      </c>
      <c r="B4" s="3" t="s">
        <v>12</v>
      </c>
      <c r="C4" s="3" t="s">
        <v>19</v>
      </c>
      <c r="D4" s="4" t="s">
        <v>20</v>
      </c>
      <c r="E4" s="3" t="s">
        <v>21</v>
      </c>
      <c r="F4" s="3" t="s">
        <v>16</v>
      </c>
      <c r="G4" s="3"/>
      <c r="H4" s="4" t="s">
        <v>17</v>
      </c>
      <c r="I4" s="4" t="s">
        <v>18</v>
      </c>
      <c r="J4" s="5">
        <f>IFERROR(VLOOKUP(K4,Docentes_Lista!$A$2:$C$212,2,FALSE),"")</f>
        <v>0</v>
      </c>
      <c r="K4" s="4"/>
      <c r="L4" s="2">
        <f>IFERROR(VLOOKUP(K4,Docentes_Lista!$A$2:$C$212,3,FALSE),"")</f>
        <v>0</v>
      </c>
    </row>
    <row r="5" spans="1:12" ht="30" customHeight="1">
      <c r="A5" s="2">
        <v>4</v>
      </c>
      <c r="B5" s="3" t="s">
        <v>12</v>
      </c>
      <c r="C5" s="3" t="s">
        <v>22</v>
      </c>
      <c r="D5" s="4" t="s">
        <v>23</v>
      </c>
      <c r="E5" s="3" t="s">
        <v>15</v>
      </c>
      <c r="F5" s="3" t="s">
        <v>16</v>
      </c>
      <c r="G5" s="3"/>
      <c r="H5" s="4" t="s">
        <v>17</v>
      </c>
      <c r="I5" s="4" t="s">
        <v>18</v>
      </c>
      <c r="J5" s="5">
        <f>IFERROR(VLOOKUP(K5,Docentes_Lista!$A$2:$C$212,2,FALSE),"")</f>
        <v>0</v>
      </c>
      <c r="K5" s="4"/>
      <c r="L5" s="2">
        <f>IFERROR(VLOOKUP(K5,Docentes_Lista!$A$2:$C$212,3,FALSE),"")</f>
        <v>0</v>
      </c>
    </row>
    <row r="6" spans="1:12" ht="30" customHeight="1">
      <c r="A6" s="2">
        <v>5</v>
      </c>
      <c r="B6" s="3" t="s">
        <v>12</v>
      </c>
      <c r="C6" s="3" t="s">
        <v>24</v>
      </c>
      <c r="D6" s="4" t="s">
        <v>25</v>
      </c>
      <c r="E6" s="3" t="s">
        <v>15</v>
      </c>
      <c r="F6" s="3" t="s">
        <v>16</v>
      </c>
      <c r="G6" s="3"/>
      <c r="H6" s="4" t="s">
        <v>17</v>
      </c>
      <c r="I6" s="4" t="s">
        <v>18</v>
      </c>
      <c r="J6" s="5">
        <f>IFERROR(VLOOKUP(K6,Docentes_Lista!$A$2:$C$212,2,FALSE),"")</f>
        <v>0</v>
      </c>
      <c r="K6" s="4"/>
      <c r="L6" s="2">
        <f>IFERROR(VLOOKUP(K6,Docentes_Lista!$A$2:$C$212,3,FALSE),"")</f>
        <v>0</v>
      </c>
    </row>
    <row r="7" spans="1:12" ht="30" customHeight="1">
      <c r="A7" s="2">
        <v>6</v>
      </c>
      <c r="B7" s="3" t="s">
        <v>12</v>
      </c>
      <c r="C7" s="3" t="s">
        <v>26</v>
      </c>
      <c r="D7" s="4" t="s">
        <v>27</v>
      </c>
      <c r="E7" s="3" t="s">
        <v>15</v>
      </c>
      <c r="F7" s="3" t="s">
        <v>16</v>
      </c>
      <c r="G7" s="3"/>
      <c r="H7" s="4" t="s">
        <v>17</v>
      </c>
      <c r="I7" s="4" t="s">
        <v>18</v>
      </c>
      <c r="J7" s="5">
        <f>IFERROR(VLOOKUP(K7,Docentes_Lista!$A$2:$C$212,2,FALSE),"")</f>
        <v>0</v>
      </c>
      <c r="K7" s="4"/>
      <c r="L7" s="2">
        <f>IFERROR(VLOOKUP(K7,Docentes_Lista!$A$2:$C$212,3,FALSE),"")</f>
        <v>0</v>
      </c>
    </row>
    <row r="8" spans="1:12" ht="30" customHeight="1">
      <c r="A8" s="2">
        <v>7</v>
      </c>
      <c r="B8" s="3" t="s">
        <v>12</v>
      </c>
      <c r="C8" s="3" t="s">
        <v>28</v>
      </c>
      <c r="D8" s="4" t="s">
        <v>29</v>
      </c>
      <c r="E8" s="3" t="s">
        <v>15</v>
      </c>
      <c r="F8" s="3" t="s">
        <v>16</v>
      </c>
      <c r="G8" s="3"/>
      <c r="H8" s="4" t="s">
        <v>17</v>
      </c>
      <c r="I8" s="4" t="s">
        <v>18</v>
      </c>
      <c r="J8" s="5">
        <f>IFERROR(VLOOKUP(K8,Docentes_Lista!$A$2:$C$212,2,FALSE),"")</f>
        <v>0</v>
      </c>
      <c r="K8" s="4"/>
      <c r="L8" s="2">
        <f>IFERROR(VLOOKUP(K8,Docentes_Lista!$A$2:$C$212,3,FALSE),"")</f>
        <v>0</v>
      </c>
    </row>
    <row r="9" spans="1:12" ht="30" customHeight="1">
      <c r="A9" s="2">
        <v>8</v>
      </c>
      <c r="B9" s="3" t="s">
        <v>12</v>
      </c>
      <c r="C9" s="3" t="s">
        <v>30</v>
      </c>
      <c r="D9" s="4" t="s">
        <v>31</v>
      </c>
      <c r="E9" s="3" t="s">
        <v>15</v>
      </c>
      <c r="F9" s="3" t="s">
        <v>16</v>
      </c>
      <c r="G9" s="3"/>
      <c r="H9" s="4" t="s">
        <v>17</v>
      </c>
      <c r="I9" s="4" t="s">
        <v>18</v>
      </c>
      <c r="J9" s="5">
        <f>IFERROR(VLOOKUP(K9,Docentes_Lista!$A$2:$C$212,2,FALSE),"")</f>
        <v>0</v>
      </c>
      <c r="K9" s="4"/>
      <c r="L9" s="2">
        <f>IFERROR(VLOOKUP(K9,Docentes_Lista!$A$2:$C$212,3,FALSE),"")</f>
        <v>0</v>
      </c>
    </row>
    <row r="10" spans="1:12" ht="30" customHeight="1">
      <c r="A10" s="2">
        <v>9</v>
      </c>
      <c r="B10" s="3" t="s">
        <v>32</v>
      </c>
      <c r="C10" s="3" t="s">
        <v>33</v>
      </c>
      <c r="D10" s="4" t="s">
        <v>34</v>
      </c>
      <c r="E10" s="3" t="s">
        <v>15</v>
      </c>
      <c r="F10" s="3" t="s">
        <v>35</v>
      </c>
      <c r="G10" s="3" t="s">
        <v>36</v>
      </c>
      <c r="H10" s="4" t="s">
        <v>37</v>
      </c>
      <c r="I10" s="4" t="s">
        <v>38</v>
      </c>
      <c r="J10" s="5">
        <f>IFERROR(VLOOKUP(K10,Docentes_Lista!$A$2:$C$212,2,FALSE),"")</f>
        <v>0</v>
      </c>
      <c r="K10" s="4"/>
      <c r="L10" s="2">
        <f>IFERROR(VLOOKUP(K10,Docentes_Lista!$A$2:$C$212,3,FALSE),"")</f>
        <v>0</v>
      </c>
    </row>
    <row r="11" spans="1:12" ht="30" customHeight="1">
      <c r="A11" s="2">
        <v>10</v>
      </c>
      <c r="B11" s="3" t="s">
        <v>32</v>
      </c>
      <c r="C11" s="3" t="s">
        <v>33</v>
      </c>
      <c r="D11" s="4" t="s">
        <v>34</v>
      </c>
      <c r="E11" s="3" t="s">
        <v>21</v>
      </c>
      <c r="F11" s="3" t="s">
        <v>39</v>
      </c>
      <c r="G11" s="3" t="s">
        <v>36</v>
      </c>
      <c r="H11" s="4" t="s">
        <v>40</v>
      </c>
      <c r="I11" s="4" t="s">
        <v>38</v>
      </c>
      <c r="J11" s="5">
        <f>IFERROR(VLOOKUP(K11,Docentes_Lista!$A$2:$C$212,2,FALSE),"")</f>
        <v>0</v>
      </c>
      <c r="K11" s="4"/>
      <c r="L11" s="2">
        <f>IFERROR(VLOOKUP(K11,Docentes_Lista!$A$2:$C$212,3,FALSE),"")</f>
        <v>0</v>
      </c>
    </row>
    <row r="12" spans="1:12" ht="30" customHeight="1">
      <c r="A12" s="2">
        <v>11</v>
      </c>
      <c r="B12" s="3" t="s">
        <v>32</v>
      </c>
      <c r="C12" s="3" t="s">
        <v>33</v>
      </c>
      <c r="D12" s="4" t="s">
        <v>34</v>
      </c>
      <c r="E12" s="3" t="s">
        <v>41</v>
      </c>
      <c r="F12" s="3" t="s">
        <v>42</v>
      </c>
      <c r="G12" s="3" t="s">
        <v>43</v>
      </c>
      <c r="H12" s="4" t="s">
        <v>44</v>
      </c>
      <c r="I12" s="4" t="s">
        <v>38</v>
      </c>
      <c r="J12" s="5">
        <f>IFERROR(VLOOKUP(K12,Docentes_Lista!$A$2:$C$212,2,FALSE),"")</f>
        <v>0</v>
      </c>
      <c r="K12" s="4"/>
      <c r="L12" s="2">
        <f>IFERROR(VLOOKUP(K12,Docentes_Lista!$A$2:$C$212,3,FALSE),"")</f>
        <v>0</v>
      </c>
    </row>
    <row r="13" spans="1:12" ht="30" customHeight="1">
      <c r="A13" s="2">
        <v>12</v>
      </c>
      <c r="B13" s="3" t="s">
        <v>32</v>
      </c>
      <c r="C13" s="3" t="s">
        <v>45</v>
      </c>
      <c r="D13" s="4" t="s">
        <v>46</v>
      </c>
      <c r="E13" s="3" t="s">
        <v>15</v>
      </c>
      <c r="F13" s="3" t="s">
        <v>16</v>
      </c>
      <c r="G13" s="3"/>
      <c r="H13" s="4" t="s">
        <v>17</v>
      </c>
      <c r="I13" s="4" t="s">
        <v>18</v>
      </c>
      <c r="J13" s="5">
        <f>IFERROR(VLOOKUP(K13,Docentes_Lista!$A$2:$C$212,2,FALSE),"")</f>
        <v>0</v>
      </c>
      <c r="K13" s="4"/>
      <c r="L13" s="2">
        <f>IFERROR(VLOOKUP(K13,Docentes_Lista!$A$2:$C$212,3,FALSE),"")</f>
        <v>0</v>
      </c>
    </row>
    <row r="14" spans="1:12" ht="30" customHeight="1">
      <c r="A14" s="2">
        <v>13</v>
      </c>
      <c r="B14" s="3" t="s">
        <v>32</v>
      </c>
      <c r="C14" s="3" t="s">
        <v>45</v>
      </c>
      <c r="D14" s="4" t="s">
        <v>46</v>
      </c>
      <c r="E14" s="3" t="s">
        <v>21</v>
      </c>
      <c r="F14" s="3" t="s">
        <v>16</v>
      </c>
      <c r="G14" s="3"/>
      <c r="H14" s="4" t="s">
        <v>17</v>
      </c>
      <c r="I14" s="4" t="s">
        <v>18</v>
      </c>
      <c r="J14" s="5">
        <f>IFERROR(VLOOKUP(K14,Docentes_Lista!$A$2:$C$212,2,FALSE),"")</f>
        <v>0</v>
      </c>
      <c r="K14" s="4"/>
      <c r="L14" s="2">
        <f>IFERROR(VLOOKUP(K14,Docentes_Lista!$A$2:$C$212,3,FALSE),"")</f>
        <v>0</v>
      </c>
    </row>
    <row r="15" spans="1:12" ht="30" customHeight="1">
      <c r="A15" s="2">
        <v>14</v>
      </c>
      <c r="B15" s="3" t="s">
        <v>32</v>
      </c>
      <c r="C15" s="3" t="s">
        <v>45</v>
      </c>
      <c r="D15" s="4" t="s">
        <v>46</v>
      </c>
      <c r="E15" s="3" t="s">
        <v>41</v>
      </c>
      <c r="F15" s="3" t="s">
        <v>16</v>
      </c>
      <c r="G15" s="3"/>
      <c r="H15" s="4" t="s">
        <v>17</v>
      </c>
      <c r="I15" s="4" t="s">
        <v>18</v>
      </c>
      <c r="J15" s="5">
        <f>IFERROR(VLOOKUP(K15,Docentes_Lista!$A$2:$C$212,2,FALSE),"")</f>
        <v>0</v>
      </c>
      <c r="K15" s="4"/>
      <c r="L15" s="2">
        <f>IFERROR(VLOOKUP(K15,Docentes_Lista!$A$2:$C$212,3,FALSE),"")</f>
        <v>0</v>
      </c>
    </row>
    <row r="16" spans="1:12" ht="30" customHeight="1">
      <c r="A16" s="2">
        <v>15</v>
      </c>
      <c r="B16" s="3" t="s">
        <v>32</v>
      </c>
      <c r="C16" s="3" t="s">
        <v>47</v>
      </c>
      <c r="D16" s="4" t="s">
        <v>48</v>
      </c>
      <c r="E16" s="3" t="s">
        <v>15</v>
      </c>
      <c r="F16" s="3" t="s">
        <v>35</v>
      </c>
      <c r="G16" s="3" t="s">
        <v>36</v>
      </c>
      <c r="H16" s="4" t="s">
        <v>37</v>
      </c>
      <c r="I16" s="4" t="s">
        <v>38</v>
      </c>
      <c r="J16" s="5">
        <f>IFERROR(VLOOKUP(K16,Docentes_Lista!$A$2:$C$212,2,FALSE),"")</f>
        <v>0</v>
      </c>
      <c r="K16" s="4"/>
      <c r="L16" s="2">
        <f>IFERROR(VLOOKUP(K16,Docentes_Lista!$A$2:$C$212,3,FALSE),"")</f>
        <v>0</v>
      </c>
    </row>
    <row r="17" spans="1:12" ht="30" customHeight="1">
      <c r="A17" s="2">
        <v>16</v>
      </c>
      <c r="B17" s="3" t="s">
        <v>32</v>
      </c>
      <c r="C17" s="3" t="s">
        <v>47</v>
      </c>
      <c r="D17" s="4" t="s">
        <v>48</v>
      </c>
      <c r="E17" s="3" t="s">
        <v>41</v>
      </c>
      <c r="F17" s="3" t="s">
        <v>39</v>
      </c>
      <c r="G17" s="3" t="s">
        <v>36</v>
      </c>
      <c r="H17" s="4" t="s">
        <v>40</v>
      </c>
      <c r="I17" s="4" t="s">
        <v>38</v>
      </c>
      <c r="J17" s="5">
        <f>IFERROR(VLOOKUP(K17,Docentes_Lista!$A$2:$C$212,2,FALSE),"")</f>
        <v>0</v>
      </c>
      <c r="K17" s="4"/>
      <c r="L17" s="2">
        <f>IFERROR(VLOOKUP(K17,Docentes_Lista!$A$2:$C$212,3,FALSE),"")</f>
        <v>0</v>
      </c>
    </row>
    <row r="18" spans="1:12" ht="30" customHeight="1">
      <c r="A18" s="2">
        <v>17</v>
      </c>
      <c r="B18" s="3" t="s">
        <v>32</v>
      </c>
      <c r="C18" s="3" t="s">
        <v>47</v>
      </c>
      <c r="D18" s="4" t="s">
        <v>48</v>
      </c>
      <c r="E18" s="3" t="s">
        <v>21</v>
      </c>
      <c r="F18" s="3" t="s">
        <v>35</v>
      </c>
      <c r="G18" s="3" t="s">
        <v>36</v>
      </c>
      <c r="H18" s="4" t="s">
        <v>49</v>
      </c>
      <c r="I18" s="4" t="s">
        <v>38</v>
      </c>
      <c r="J18" s="5">
        <f>IFERROR(VLOOKUP(K18,Docentes_Lista!$A$2:$C$212,2,FALSE),"")</f>
        <v>0</v>
      </c>
      <c r="K18" s="4"/>
      <c r="L18" s="2">
        <f>IFERROR(VLOOKUP(K18,Docentes_Lista!$A$2:$C$212,3,FALSE),"")</f>
        <v>0</v>
      </c>
    </row>
    <row r="19" spans="1:12" ht="30" customHeight="1">
      <c r="A19" s="2">
        <v>18</v>
      </c>
      <c r="B19" s="3" t="s">
        <v>32</v>
      </c>
      <c r="C19" s="3" t="s">
        <v>47</v>
      </c>
      <c r="D19" s="4" t="s">
        <v>48</v>
      </c>
      <c r="E19" s="3" t="s">
        <v>50</v>
      </c>
      <c r="F19" s="3" t="s">
        <v>51</v>
      </c>
      <c r="G19" s="3" t="s">
        <v>43</v>
      </c>
      <c r="H19" s="4" t="s">
        <v>52</v>
      </c>
      <c r="I19" s="4" t="s">
        <v>38</v>
      </c>
      <c r="J19" s="5">
        <f>IFERROR(VLOOKUP(K19,Docentes_Lista!$A$2:$C$212,2,FALSE),"")</f>
        <v>0</v>
      </c>
      <c r="K19" s="4"/>
      <c r="L19" s="2">
        <f>IFERROR(VLOOKUP(K19,Docentes_Lista!$A$2:$C$212,3,FALSE),"")</f>
        <v>0</v>
      </c>
    </row>
    <row r="20" spans="1:12" ht="30" customHeight="1">
      <c r="A20" s="2">
        <v>19</v>
      </c>
      <c r="B20" s="3" t="s">
        <v>32</v>
      </c>
      <c r="C20" s="3" t="s">
        <v>47</v>
      </c>
      <c r="D20" s="4" t="s">
        <v>48</v>
      </c>
      <c r="E20" s="3" t="s">
        <v>53</v>
      </c>
      <c r="F20" s="3" t="s">
        <v>42</v>
      </c>
      <c r="G20" s="3" t="s">
        <v>43</v>
      </c>
      <c r="H20" s="4" t="s">
        <v>44</v>
      </c>
      <c r="I20" s="4" t="s">
        <v>38</v>
      </c>
      <c r="J20" s="5">
        <f>IFERROR(VLOOKUP(K20,Docentes_Lista!$A$2:$C$212,2,FALSE),"")</f>
        <v>0</v>
      </c>
      <c r="K20" s="4"/>
      <c r="L20" s="2">
        <f>IFERROR(VLOOKUP(K20,Docentes_Lista!$A$2:$C$212,3,FALSE),"")</f>
        <v>0</v>
      </c>
    </row>
    <row r="21" spans="1:12" ht="30" customHeight="1">
      <c r="A21" s="2">
        <v>20</v>
      </c>
      <c r="B21" s="3" t="s">
        <v>32</v>
      </c>
      <c r="C21" s="3" t="s">
        <v>54</v>
      </c>
      <c r="D21" s="4" t="s">
        <v>55</v>
      </c>
      <c r="E21" s="3" t="s">
        <v>15</v>
      </c>
      <c r="F21" s="3" t="s">
        <v>16</v>
      </c>
      <c r="G21" s="3"/>
      <c r="H21" s="4" t="s">
        <v>17</v>
      </c>
      <c r="I21" s="4" t="s">
        <v>18</v>
      </c>
      <c r="J21" s="5">
        <f>IFERROR(VLOOKUP(K21,Docentes_Lista!$A$2:$C$212,2,FALSE),"")</f>
        <v>0</v>
      </c>
      <c r="K21" s="4"/>
      <c r="L21" s="2">
        <f>IFERROR(VLOOKUP(K21,Docentes_Lista!$A$2:$C$212,3,FALSE),"")</f>
        <v>0</v>
      </c>
    </row>
    <row r="22" spans="1:12" ht="30" customHeight="1">
      <c r="A22" s="2">
        <v>21</v>
      </c>
      <c r="B22" s="3" t="s">
        <v>32</v>
      </c>
      <c r="C22" s="3" t="s">
        <v>54</v>
      </c>
      <c r="D22" s="4" t="s">
        <v>55</v>
      </c>
      <c r="E22" s="3" t="s">
        <v>21</v>
      </c>
      <c r="F22" s="3" t="s">
        <v>16</v>
      </c>
      <c r="G22" s="3"/>
      <c r="H22" s="4" t="s">
        <v>17</v>
      </c>
      <c r="I22" s="4" t="s">
        <v>18</v>
      </c>
      <c r="J22" s="5">
        <f>IFERROR(VLOOKUP(K22,Docentes_Lista!$A$2:$C$212,2,FALSE),"")</f>
        <v>0</v>
      </c>
      <c r="K22" s="4"/>
      <c r="L22" s="2">
        <f>IFERROR(VLOOKUP(K22,Docentes_Lista!$A$2:$C$212,3,FALSE),"")</f>
        <v>0</v>
      </c>
    </row>
    <row r="23" spans="1:12" ht="30" customHeight="1">
      <c r="A23" s="2">
        <v>22</v>
      </c>
      <c r="B23" s="3" t="s">
        <v>32</v>
      </c>
      <c r="C23" s="3" t="s">
        <v>54</v>
      </c>
      <c r="D23" s="4" t="s">
        <v>55</v>
      </c>
      <c r="E23" s="3" t="s">
        <v>41</v>
      </c>
      <c r="F23" s="3" t="s">
        <v>16</v>
      </c>
      <c r="G23" s="3"/>
      <c r="H23" s="4" t="s">
        <v>17</v>
      </c>
      <c r="I23" s="4" t="s">
        <v>18</v>
      </c>
      <c r="J23" s="5">
        <f>IFERROR(VLOOKUP(K23,Docentes_Lista!$A$2:$C$212,2,FALSE),"")</f>
        <v>0</v>
      </c>
      <c r="K23" s="4"/>
      <c r="L23" s="2">
        <f>IFERROR(VLOOKUP(K23,Docentes_Lista!$A$2:$C$212,3,FALSE),"")</f>
        <v>0</v>
      </c>
    </row>
    <row r="24" spans="1:12" ht="30" customHeight="1">
      <c r="A24" s="2">
        <v>23</v>
      </c>
      <c r="B24" s="3" t="s">
        <v>12</v>
      </c>
      <c r="C24" s="3" t="s">
        <v>56</v>
      </c>
      <c r="D24" s="4" t="s">
        <v>57</v>
      </c>
      <c r="E24" s="3" t="s">
        <v>15</v>
      </c>
      <c r="F24" s="3" t="s">
        <v>16</v>
      </c>
      <c r="G24" s="3"/>
      <c r="H24" s="4" t="s">
        <v>17</v>
      </c>
      <c r="I24" s="4" t="s">
        <v>18</v>
      </c>
      <c r="J24" s="5">
        <f>IFERROR(VLOOKUP(K24,Docentes_Lista!$A$2:$C$212,2,FALSE),"")</f>
        <v>0</v>
      </c>
      <c r="K24" s="4"/>
      <c r="L24" s="2">
        <f>IFERROR(VLOOKUP(K24,Docentes_Lista!$A$2:$C$212,3,FALSE),"")</f>
        <v>0</v>
      </c>
    </row>
    <row r="25" spans="1:12" ht="30" customHeight="1">
      <c r="A25" s="2">
        <v>24</v>
      </c>
      <c r="B25" s="3" t="s">
        <v>12</v>
      </c>
      <c r="C25" s="3" t="s">
        <v>58</v>
      </c>
      <c r="D25" s="4" t="s">
        <v>59</v>
      </c>
      <c r="E25" s="3" t="s">
        <v>15</v>
      </c>
      <c r="F25" s="3" t="s">
        <v>16</v>
      </c>
      <c r="G25" s="3"/>
      <c r="H25" s="4" t="s">
        <v>17</v>
      </c>
      <c r="I25" s="4" t="s">
        <v>18</v>
      </c>
      <c r="J25" s="5">
        <f>IFERROR(VLOOKUP(K25,Docentes_Lista!$A$2:$C$212,2,FALSE),"")</f>
        <v>0</v>
      </c>
      <c r="K25" s="4"/>
      <c r="L25" s="2">
        <f>IFERROR(VLOOKUP(K25,Docentes_Lista!$A$2:$C$212,3,FALSE),"")</f>
        <v>0</v>
      </c>
    </row>
    <row r="26" spans="1:12" ht="30" customHeight="1">
      <c r="A26" s="2">
        <v>25</v>
      </c>
      <c r="B26" s="3" t="s">
        <v>12</v>
      </c>
      <c r="C26" s="3" t="s">
        <v>60</v>
      </c>
      <c r="D26" s="4" t="s">
        <v>61</v>
      </c>
      <c r="E26" s="3" t="s">
        <v>15</v>
      </c>
      <c r="F26" s="3" t="s">
        <v>16</v>
      </c>
      <c r="G26" s="3"/>
      <c r="H26" s="4" t="s">
        <v>17</v>
      </c>
      <c r="I26" s="4" t="s">
        <v>18</v>
      </c>
      <c r="J26" s="5">
        <f>IFERROR(VLOOKUP(K26,Docentes_Lista!$A$2:$C$212,2,FALSE),"")</f>
        <v>0</v>
      </c>
      <c r="K26" s="4"/>
      <c r="L26" s="2">
        <f>IFERROR(VLOOKUP(K26,Docentes_Lista!$A$2:$C$212,3,FALSE),"")</f>
        <v>0</v>
      </c>
    </row>
    <row r="27" spans="1:12" ht="30" customHeight="1">
      <c r="A27" s="2">
        <v>26</v>
      </c>
      <c r="B27" s="3" t="s">
        <v>12</v>
      </c>
      <c r="C27" s="3" t="s">
        <v>62</v>
      </c>
      <c r="D27" s="4" t="s">
        <v>63</v>
      </c>
      <c r="E27" s="3" t="s">
        <v>15</v>
      </c>
      <c r="F27" s="3" t="s">
        <v>16</v>
      </c>
      <c r="G27" s="3"/>
      <c r="H27" s="4" t="s">
        <v>17</v>
      </c>
      <c r="I27" s="4" t="s">
        <v>18</v>
      </c>
      <c r="J27" s="5">
        <f>IFERROR(VLOOKUP(K27,Docentes_Lista!$A$2:$C$212,2,FALSE),"")</f>
        <v>0</v>
      </c>
      <c r="K27" s="4"/>
      <c r="L27" s="2">
        <f>IFERROR(VLOOKUP(K27,Docentes_Lista!$A$2:$C$212,3,FALSE),"")</f>
        <v>0</v>
      </c>
    </row>
    <row r="28" spans="1:12" ht="30" customHeight="1">
      <c r="A28" s="2">
        <v>27</v>
      </c>
      <c r="B28" s="3" t="s">
        <v>12</v>
      </c>
      <c r="C28" s="3" t="s">
        <v>64</v>
      </c>
      <c r="D28" s="4" t="s">
        <v>65</v>
      </c>
      <c r="E28" s="3" t="s">
        <v>15</v>
      </c>
      <c r="F28" s="3" t="s">
        <v>35</v>
      </c>
      <c r="G28" s="3" t="s">
        <v>36</v>
      </c>
      <c r="H28" s="4" t="s">
        <v>66</v>
      </c>
      <c r="I28" s="4" t="s">
        <v>38</v>
      </c>
      <c r="J28" s="5">
        <f>IFERROR(VLOOKUP(K28,Docentes_Lista!$A$2:$C$212,2,FALSE),"")</f>
        <v>0</v>
      </c>
      <c r="K28" s="4"/>
      <c r="L28" s="2">
        <f>IFERROR(VLOOKUP(K28,Docentes_Lista!$A$2:$C$212,3,FALSE),"")</f>
        <v>0</v>
      </c>
    </row>
    <row r="29" spans="1:12" ht="30" customHeight="1">
      <c r="A29" s="2">
        <v>28</v>
      </c>
      <c r="B29" s="3" t="s">
        <v>12</v>
      </c>
      <c r="C29" s="3" t="s">
        <v>67</v>
      </c>
      <c r="D29" s="4" t="s">
        <v>68</v>
      </c>
      <c r="E29" s="3" t="s">
        <v>15</v>
      </c>
      <c r="F29" s="3" t="s">
        <v>35</v>
      </c>
      <c r="G29" s="3" t="s">
        <v>36</v>
      </c>
      <c r="H29" s="4" t="s">
        <v>37</v>
      </c>
      <c r="I29" s="4" t="s">
        <v>38</v>
      </c>
      <c r="J29" s="5">
        <f>IFERROR(VLOOKUP(K29,Docentes_Lista!$A$2:$C$212,2,FALSE),"")</f>
        <v>0</v>
      </c>
      <c r="K29" s="4"/>
      <c r="L29" s="2">
        <f>IFERROR(VLOOKUP(K29,Docentes_Lista!$A$2:$C$212,3,FALSE),"")</f>
        <v>0</v>
      </c>
    </row>
    <row r="30" spans="1:12" ht="30" customHeight="1">
      <c r="A30" s="2">
        <v>29</v>
      </c>
      <c r="B30" s="3" t="s">
        <v>12</v>
      </c>
      <c r="C30" s="3" t="s">
        <v>69</v>
      </c>
      <c r="D30" s="4" t="s">
        <v>70</v>
      </c>
      <c r="E30" s="3" t="s">
        <v>15</v>
      </c>
      <c r="F30" s="3" t="s">
        <v>16</v>
      </c>
      <c r="G30" s="3"/>
      <c r="H30" s="4" t="s">
        <v>17</v>
      </c>
      <c r="I30" s="4" t="s">
        <v>18</v>
      </c>
      <c r="J30" s="5">
        <f>IFERROR(VLOOKUP(K30,Docentes_Lista!$A$2:$C$212,2,FALSE),"")</f>
        <v>0</v>
      </c>
      <c r="K30" s="4"/>
      <c r="L30" s="2">
        <f>IFERROR(VLOOKUP(K30,Docentes_Lista!$A$2:$C$212,3,FALSE),"")</f>
        <v>0</v>
      </c>
    </row>
    <row r="31" spans="1:12" ht="30" customHeight="1">
      <c r="A31" s="2">
        <v>30</v>
      </c>
      <c r="B31" s="3" t="s">
        <v>12</v>
      </c>
      <c r="C31" s="3" t="s">
        <v>71</v>
      </c>
      <c r="D31" s="4" t="s">
        <v>72</v>
      </c>
      <c r="E31" s="3" t="s">
        <v>15</v>
      </c>
      <c r="F31" s="3" t="s">
        <v>16</v>
      </c>
      <c r="G31" s="3"/>
      <c r="H31" s="4" t="s">
        <v>17</v>
      </c>
      <c r="I31" s="4" t="s">
        <v>18</v>
      </c>
      <c r="J31" s="5">
        <f>IFERROR(VLOOKUP(K31,Docentes_Lista!$A$2:$C$212,2,FALSE),"")</f>
        <v>0</v>
      </c>
      <c r="K31" s="4"/>
      <c r="L31" s="2">
        <f>IFERROR(VLOOKUP(K31,Docentes_Lista!$A$2:$C$212,3,FALSE),"")</f>
        <v>0</v>
      </c>
    </row>
    <row r="32" spans="1:12" ht="30" customHeight="1">
      <c r="A32" s="2">
        <v>31</v>
      </c>
      <c r="B32" s="3" t="s">
        <v>12</v>
      </c>
      <c r="C32" s="3" t="s">
        <v>73</v>
      </c>
      <c r="D32" s="4" t="s">
        <v>74</v>
      </c>
      <c r="E32" s="3" t="s">
        <v>15</v>
      </c>
      <c r="F32" s="3" t="s">
        <v>75</v>
      </c>
      <c r="G32" s="3" t="s">
        <v>36</v>
      </c>
      <c r="H32" s="4" t="s">
        <v>66</v>
      </c>
      <c r="I32" s="4" t="s">
        <v>38</v>
      </c>
      <c r="J32" s="5">
        <f>IFERROR(VLOOKUP(K32,Docentes_Lista!$A$2:$C$212,2,FALSE),"")</f>
        <v>0</v>
      </c>
      <c r="K32" s="4"/>
      <c r="L32" s="2">
        <f>IFERROR(VLOOKUP(K32,Docentes_Lista!$A$2:$C$212,3,FALSE),"")</f>
        <v>0</v>
      </c>
    </row>
    <row r="33" spans="1:12" ht="30" customHeight="1">
      <c r="A33" s="2">
        <v>32</v>
      </c>
      <c r="B33" s="3" t="s">
        <v>12</v>
      </c>
      <c r="C33" s="3" t="s">
        <v>76</v>
      </c>
      <c r="D33" s="4" t="s">
        <v>77</v>
      </c>
      <c r="E33" s="3" t="s">
        <v>15</v>
      </c>
      <c r="F33" s="3" t="s">
        <v>75</v>
      </c>
      <c r="G33" s="3" t="s">
        <v>36</v>
      </c>
      <c r="H33" s="4" t="s">
        <v>78</v>
      </c>
      <c r="I33" s="4" t="s">
        <v>38</v>
      </c>
      <c r="J33" s="5">
        <f>IFERROR(VLOOKUP(K33,Docentes_Lista!$A$2:$C$212,2,FALSE),"")</f>
        <v>0</v>
      </c>
      <c r="K33" s="4"/>
      <c r="L33" s="2">
        <f>IFERROR(VLOOKUP(K33,Docentes_Lista!$A$2:$C$212,3,FALSE),"")</f>
        <v>0</v>
      </c>
    </row>
    <row r="34" spans="1:12" ht="30" customHeight="1">
      <c r="A34" s="2">
        <v>33</v>
      </c>
      <c r="B34" s="3" t="s">
        <v>12</v>
      </c>
      <c r="C34" s="3" t="s">
        <v>79</v>
      </c>
      <c r="D34" s="4" t="s">
        <v>80</v>
      </c>
      <c r="E34" s="3" t="s">
        <v>15</v>
      </c>
      <c r="F34" s="3" t="s">
        <v>16</v>
      </c>
      <c r="G34" s="3"/>
      <c r="H34" s="4" t="s">
        <v>17</v>
      </c>
      <c r="I34" s="4" t="s">
        <v>18</v>
      </c>
      <c r="J34" s="5">
        <f>IFERROR(VLOOKUP(K34,Docentes_Lista!$A$2:$C$212,2,FALSE),"")</f>
        <v>0</v>
      </c>
      <c r="K34" s="4"/>
      <c r="L34" s="2">
        <f>IFERROR(VLOOKUP(K34,Docentes_Lista!$A$2:$C$212,3,FALSE),"")</f>
        <v>0</v>
      </c>
    </row>
    <row r="35" spans="1:12" ht="30" customHeight="1">
      <c r="A35" s="2">
        <v>34</v>
      </c>
      <c r="B35" s="3" t="s">
        <v>12</v>
      </c>
      <c r="C35" s="3" t="s">
        <v>81</v>
      </c>
      <c r="D35" s="4" t="s">
        <v>20</v>
      </c>
      <c r="E35" s="3" t="s">
        <v>15</v>
      </c>
      <c r="F35" s="3" t="s">
        <v>16</v>
      </c>
      <c r="G35" s="3"/>
      <c r="H35" s="4" t="s">
        <v>17</v>
      </c>
      <c r="I35" s="4" t="s">
        <v>18</v>
      </c>
      <c r="J35" s="5">
        <f>IFERROR(VLOOKUP(K35,Docentes_Lista!$A$2:$C$212,2,FALSE),"")</f>
        <v>0</v>
      </c>
      <c r="K35" s="4"/>
      <c r="L35" s="2">
        <f>IFERROR(VLOOKUP(K35,Docentes_Lista!$A$2:$C$212,3,FALSE),"")</f>
        <v>0</v>
      </c>
    </row>
    <row r="36" spans="1:12" ht="30" customHeight="1">
      <c r="A36" s="2">
        <v>35</v>
      </c>
      <c r="B36" s="3" t="s">
        <v>12</v>
      </c>
      <c r="C36" s="3" t="s">
        <v>82</v>
      </c>
      <c r="D36" s="4" t="s">
        <v>14</v>
      </c>
      <c r="E36" s="3" t="s">
        <v>15</v>
      </c>
      <c r="F36" s="3" t="s">
        <v>39</v>
      </c>
      <c r="G36" s="3" t="s">
        <v>36</v>
      </c>
      <c r="H36" s="4" t="s">
        <v>78</v>
      </c>
      <c r="I36" s="4" t="s">
        <v>38</v>
      </c>
      <c r="J36" s="5">
        <f>IFERROR(VLOOKUP(K36,Docentes_Lista!$A$2:$C$212,2,FALSE),"")</f>
        <v>0</v>
      </c>
      <c r="K36" s="4"/>
      <c r="L36" s="2">
        <f>IFERROR(VLOOKUP(K36,Docentes_Lista!$A$2:$C$212,3,FALSE),"")</f>
        <v>0</v>
      </c>
    </row>
    <row r="37" spans="1:12" ht="30" customHeight="1">
      <c r="A37" s="2">
        <v>36</v>
      </c>
      <c r="B37" s="3" t="s">
        <v>12</v>
      </c>
      <c r="C37" s="3" t="s">
        <v>82</v>
      </c>
      <c r="D37" s="4" t="s">
        <v>14</v>
      </c>
      <c r="E37" s="3" t="s">
        <v>21</v>
      </c>
      <c r="F37" s="3" t="s">
        <v>83</v>
      </c>
      <c r="G37" s="3" t="s">
        <v>43</v>
      </c>
      <c r="H37" s="4" t="s">
        <v>40</v>
      </c>
      <c r="I37" s="4" t="s">
        <v>38</v>
      </c>
      <c r="J37" s="5">
        <f>IFERROR(VLOOKUP(K37,Docentes_Lista!$A$2:$C$212,2,FALSE),"")</f>
        <v>0</v>
      </c>
      <c r="K37" s="4"/>
      <c r="L37" s="2">
        <f>IFERROR(VLOOKUP(K37,Docentes_Lista!$A$2:$C$212,3,FALSE),"")</f>
        <v>0</v>
      </c>
    </row>
    <row r="38" spans="1:12" ht="30" customHeight="1">
      <c r="A38" s="2">
        <v>37</v>
      </c>
      <c r="B38" s="3" t="s">
        <v>12</v>
      </c>
      <c r="C38" s="3" t="s">
        <v>82</v>
      </c>
      <c r="D38" s="4" t="s">
        <v>14</v>
      </c>
      <c r="E38" s="3" t="s">
        <v>41</v>
      </c>
      <c r="F38" s="3" t="s">
        <v>84</v>
      </c>
      <c r="G38" s="3" t="s">
        <v>43</v>
      </c>
      <c r="H38" s="4" t="s">
        <v>85</v>
      </c>
      <c r="I38" s="4" t="s">
        <v>38</v>
      </c>
      <c r="J38" s="5">
        <f>IFERROR(VLOOKUP(K38,Docentes_Lista!$A$2:$C$212,2,FALSE),"")</f>
        <v>0</v>
      </c>
      <c r="K38" s="4"/>
      <c r="L38" s="2">
        <f>IFERROR(VLOOKUP(K38,Docentes_Lista!$A$2:$C$212,3,FALSE),"")</f>
        <v>0</v>
      </c>
    </row>
    <row r="39" spans="1:12" ht="30" customHeight="1">
      <c r="A39" s="2">
        <v>38</v>
      </c>
      <c r="B39" s="3" t="s">
        <v>12</v>
      </c>
      <c r="C39" s="3" t="s">
        <v>86</v>
      </c>
      <c r="D39" s="4" t="s">
        <v>20</v>
      </c>
      <c r="E39" s="3" t="s">
        <v>15</v>
      </c>
      <c r="F39" s="3" t="s">
        <v>16</v>
      </c>
      <c r="G39" s="3"/>
      <c r="H39" s="4" t="s">
        <v>17</v>
      </c>
      <c r="I39" s="4" t="s">
        <v>18</v>
      </c>
      <c r="J39" s="5">
        <f>IFERROR(VLOOKUP(K39,Docentes_Lista!$A$2:$C$212,2,FALSE),"")</f>
        <v>0</v>
      </c>
      <c r="K39" s="4"/>
      <c r="L39" s="2">
        <f>IFERROR(VLOOKUP(K39,Docentes_Lista!$A$2:$C$212,3,FALSE),"")</f>
        <v>0</v>
      </c>
    </row>
    <row r="40" spans="1:12" ht="30" customHeight="1">
      <c r="A40" s="2">
        <v>39</v>
      </c>
      <c r="B40" s="3" t="s">
        <v>32</v>
      </c>
      <c r="C40" s="3" t="s">
        <v>87</v>
      </c>
      <c r="D40" s="4" t="s">
        <v>88</v>
      </c>
      <c r="E40" s="3" t="s">
        <v>15</v>
      </c>
      <c r="F40" s="3" t="s">
        <v>16</v>
      </c>
      <c r="G40" s="3"/>
      <c r="H40" s="4" t="s">
        <v>17</v>
      </c>
      <c r="I40" s="4" t="s">
        <v>18</v>
      </c>
      <c r="J40" s="5">
        <f>IFERROR(VLOOKUP(K40,Docentes_Lista!$A$2:$C$212,2,FALSE),"")</f>
        <v>0</v>
      </c>
      <c r="K40" s="4"/>
      <c r="L40" s="2">
        <f>IFERROR(VLOOKUP(K40,Docentes_Lista!$A$2:$C$212,3,FALSE),"")</f>
        <v>0</v>
      </c>
    </row>
    <row r="41" spans="1:12" ht="30" customHeight="1">
      <c r="A41" s="2">
        <v>40</v>
      </c>
      <c r="B41" s="3" t="s">
        <v>32</v>
      </c>
      <c r="C41" s="3" t="s">
        <v>87</v>
      </c>
      <c r="D41" s="4" t="s">
        <v>88</v>
      </c>
      <c r="E41" s="3" t="s">
        <v>21</v>
      </c>
      <c r="F41" s="3" t="s">
        <v>16</v>
      </c>
      <c r="G41" s="3"/>
      <c r="H41" s="4" t="s">
        <v>17</v>
      </c>
      <c r="I41" s="4" t="s">
        <v>18</v>
      </c>
      <c r="J41" s="5">
        <f>IFERROR(VLOOKUP(K41,Docentes_Lista!$A$2:$C$212,2,FALSE),"")</f>
        <v>0</v>
      </c>
      <c r="K41" s="4"/>
      <c r="L41" s="2">
        <f>IFERROR(VLOOKUP(K41,Docentes_Lista!$A$2:$C$212,3,FALSE),"")</f>
        <v>0</v>
      </c>
    </row>
    <row r="42" spans="1:12" ht="30" customHeight="1">
      <c r="A42" s="2">
        <v>41</v>
      </c>
      <c r="B42" s="3" t="s">
        <v>32</v>
      </c>
      <c r="C42" s="3" t="s">
        <v>89</v>
      </c>
      <c r="D42" s="4" t="s">
        <v>90</v>
      </c>
      <c r="E42" s="3" t="s">
        <v>15</v>
      </c>
      <c r="F42" s="3" t="s">
        <v>16</v>
      </c>
      <c r="G42" s="3"/>
      <c r="H42" s="4" t="s">
        <v>17</v>
      </c>
      <c r="I42" s="4" t="s">
        <v>18</v>
      </c>
      <c r="J42" s="5">
        <f>IFERROR(VLOOKUP(K42,Docentes_Lista!$A$2:$C$212,2,FALSE),"")</f>
        <v>0</v>
      </c>
      <c r="K42" s="4"/>
      <c r="L42" s="2">
        <f>IFERROR(VLOOKUP(K42,Docentes_Lista!$A$2:$C$212,3,FALSE),"")</f>
        <v>0</v>
      </c>
    </row>
    <row r="43" spans="1:12" ht="30" customHeight="1">
      <c r="A43" s="2">
        <v>42</v>
      </c>
      <c r="B43" s="3" t="s">
        <v>32</v>
      </c>
      <c r="C43" s="3" t="s">
        <v>89</v>
      </c>
      <c r="D43" s="4" t="s">
        <v>90</v>
      </c>
      <c r="E43" s="3" t="s">
        <v>21</v>
      </c>
      <c r="F43" s="3" t="s">
        <v>16</v>
      </c>
      <c r="G43" s="3"/>
      <c r="H43" s="4" t="s">
        <v>17</v>
      </c>
      <c r="I43" s="4" t="s">
        <v>18</v>
      </c>
      <c r="J43" s="5">
        <f>IFERROR(VLOOKUP(K43,Docentes_Lista!$A$2:$C$212,2,FALSE),"")</f>
        <v>0</v>
      </c>
      <c r="K43" s="4"/>
      <c r="L43" s="2">
        <f>IFERROR(VLOOKUP(K43,Docentes_Lista!$A$2:$C$212,3,FALSE),"")</f>
        <v>0</v>
      </c>
    </row>
    <row r="44" spans="1:12" ht="30" customHeight="1">
      <c r="A44" s="2">
        <v>43</v>
      </c>
      <c r="B44" s="3" t="s">
        <v>32</v>
      </c>
      <c r="C44" s="3" t="s">
        <v>89</v>
      </c>
      <c r="D44" s="4" t="s">
        <v>90</v>
      </c>
      <c r="E44" s="3" t="s">
        <v>41</v>
      </c>
      <c r="F44" s="3" t="s">
        <v>16</v>
      </c>
      <c r="G44" s="3"/>
      <c r="H44" s="4" t="s">
        <v>17</v>
      </c>
      <c r="I44" s="4" t="s">
        <v>18</v>
      </c>
      <c r="J44" s="5">
        <f>IFERROR(VLOOKUP(K44,Docentes_Lista!$A$2:$C$212,2,FALSE),"")</f>
        <v>0</v>
      </c>
      <c r="K44" s="4"/>
      <c r="L44" s="2">
        <f>IFERROR(VLOOKUP(K44,Docentes_Lista!$A$2:$C$212,3,FALSE),"")</f>
        <v>0</v>
      </c>
    </row>
    <row r="45" spans="1:12" ht="30" customHeight="1">
      <c r="A45" s="2">
        <v>44</v>
      </c>
      <c r="B45" s="3" t="s">
        <v>32</v>
      </c>
      <c r="C45" s="3" t="s">
        <v>91</v>
      </c>
      <c r="D45" s="4" t="s">
        <v>92</v>
      </c>
      <c r="E45" s="3" t="s">
        <v>15</v>
      </c>
      <c r="F45" s="3" t="s">
        <v>16</v>
      </c>
      <c r="G45" s="3"/>
      <c r="H45" s="4" t="s">
        <v>17</v>
      </c>
      <c r="I45" s="4" t="s">
        <v>18</v>
      </c>
      <c r="J45" s="5">
        <f>IFERROR(VLOOKUP(K45,Docentes_Lista!$A$2:$C$212,2,FALSE),"")</f>
        <v>0</v>
      </c>
      <c r="K45" s="4"/>
      <c r="L45" s="2">
        <f>IFERROR(VLOOKUP(K45,Docentes_Lista!$A$2:$C$212,3,FALSE),"")</f>
        <v>0</v>
      </c>
    </row>
    <row r="46" spans="1:12" ht="30" customHeight="1">
      <c r="A46" s="2">
        <v>45</v>
      </c>
      <c r="B46" s="3" t="s">
        <v>32</v>
      </c>
      <c r="C46" s="3" t="s">
        <v>91</v>
      </c>
      <c r="D46" s="4" t="s">
        <v>92</v>
      </c>
      <c r="E46" s="3" t="s">
        <v>21</v>
      </c>
      <c r="F46" s="3" t="s">
        <v>16</v>
      </c>
      <c r="G46" s="3"/>
      <c r="H46" s="4" t="s">
        <v>17</v>
      </c>
      <c r="I46" s="4" t="s">
        <v>18</v>
      </c>
      <c r="J46" s="5">
        <f>IFERROR(VLOOKUP(K46,Docentes_Lista!$A$2:$C$212,2,FALSE),"")</f>
        <v>0</v>
      </c>
      <c r="K46" s="4"/>
      <c r="L46" s="2">
        <f>IFERROR(VLOOKUP(K46,Docentes_Lista!$A$2:$C$212,3,FALSE),"")</f>
        <v>0</v>
      </c>
    </row>
    <row r="47" spans="1:12" ht="30" customHeight="1">
      <c r="A47" s="2">
        <v>46</v>
      </c>
      <c r="B47" s="3" t="s">
        <v>12</v>
      </c>
      <c r="C47" s="3" t="s">
        <v>93</v>
      </c>
      <c r="D47" s="4" t="s">
        <v>94</v>
      </c>
      <c r="E47" s="3" t="s">
        <v>15</v>
      </c>
      <c r="F47" s="3" t="s">
        <v>75</v>
      </c>
      <c r="G47" s="3" t="s">
        <v>36</v>
      </c>
      <c r="H47" s="4" t="s">
        <v>66</v>
      </c>
      <c r="I47" s="4" t="s">
        <v>38</v>
      </c>
      <c r="J47" s="5">
        <f>IFERROR(VLOOKUP(K47,Docentes_Lista!$A$2:$C$212,2,FALSE),"")</f>
        <v>0</v>
      </c>
      <c r="K47" s="4"/>
      <c r="L47" s="2">
        <f>IFERROR(VLOOKUP(K47,Docentes_Lista!$A$2:$C$212,3,FALSE),"")</f>
        <v>0</v>
      </c>
    </row>
    <row r="48" spans="1:12" ht="30" customHeight="1">
      <c r="A48" s="2">
        <v>47</v>
      </c>
      <c r="B48" s="3" t="s">
        <v>12</v>
      </c>
      <c r="C48" s="3" t="s">
        <v>95</v>
      </c>
      <c r="D48" s="4" t="s">
        <v>96</v>
      </c>
      <c r="E48" s="3" t="s">
        <v>15</v>
      </c>
      <c r="F48" s="3" t="s">
        <v>16</v>
      </c>
      <c r="G48" s="3"/>
      <c r="H48" s="4" t="s">
        <v>17</v>
      </c>
      <c r="I48" s="4" t="s">
        <v>18</v>
      </c>
      <c r="J48" s="5">
        <f>IFERROR(VLOOKUP(K48,Docentes_Lista!$A$2:$C$212,2,FALSE),"")</f>
        <v>0</v>
      </c>
      <c r="K48" s="4"/>
      <c r="L48" s="2">
        <f>IFERROR(VLOOKUP(K48,Docentes_Lista!$A$2:$C$212,3,FALSE),"")</f>
        <v>0</v>
      </c>
    </row>
    <row r="49" spans="1:12" ht="30" customHeight="1">
      <c r="A49" s="2">
        <v>48</v>
      </c>
      <c r="B49" s="3" t="s">
        <v>12</v>
      </c>
      <c r="C49" s="3" t="s">
        <v>97</v>
      </c>
      <c r="D49" s="4" t="s">
        <v>98</v>
      </c>
      <c r="E49" s="3" t="s">
        <v>15</v>
      </c>
      <c r="F49" s="3" t="s">
        <v>16</v>
      </c>
      <c r="G49" s="3"/>
      <c r="H49" s="4" t="s">
        <v>17</v>
      </c>
      <c r="I49" s="4" t="s">
        <v>18</v>
      </c>
      <c r="J49" s="5">
        <f>IFERROR(VLOOKUP(K49,Docentes_Lista!$A$2:$C$212,2,FALSE),"")</f>
        <v>0</v>
      </c>
      <c r="K49" s="4"/>
      <c r="L49" s="2">
        <f>IFERROR(VLOOKUP(K49,Docentes_Lista!$A$2:$C$212,3,FALSE),"")</f>
        <v>0</v>
      </c>
    </row>
    <row r="50" spans="1:12" ht="30" customHeight="1">
      <c r="A50" s="2">
        <v>49</v>
      </c>
      <c r="B50" s="3" t="s">
        <v>12</v>
      </c>
      <c r="C50" s="3" t="s">
        <v>99</v>
      </c>
      <c r="D50" s="4" t="s">
        <v>100</v>
      </c>
      <c r="E50" s="3" t="s">
        <v>15</v>
      </c>
      <c r="F50" s="3" t="s">
        <v>16</v>
      </c>
      <c r="G50" s="3"/>
      <c r="H50" s="4" t="s">
        <v>17</v>
      </c>
      <c r="I50" s="4" t="s">
        <v>18</v>
      </c>
      <c r="J50" s="5">
        <f>IFERROR(VLOOKUP(K50,Docentes_Lista!$A$2:$C$212,2,FALSE),"")</f>
        <v>0</v>
      </c>
      <c r="K50" s="4"/>
      <c r="L50" s="2">
        <f>IFERROR(VLOOKUP(K50,Docentes_Lista!$A$2:$C$212,3,FALSE),"")</f>
        <v>0</v>
      </c>
    </row>
    <row r="51" spans="1:12" ht="30" customHeight="1">
      <c r="A51" s="2">
        <v>50</v>
      </c>
      <c r="B51" s="3" t="s">
        <v>12</v>
      </c>
      <c r="C51" s="3" t="s">
        <v>101</v>
      </c>
      <c r="D51" s="4" t="s">
        <v>102</v>
      </c>
      <c r="E51" s="3" t="s">
        <v>15</v>
      </c>
      <c r="F51" s="3" t="s">
        <v>16</v>
      </c>
      <c r="G51" s="3"/>
      <c r="H51" s="4" t="s">
        <v>17</v>
      </c>
      <c r="I51" s="4" t="s">
        <v>18</v>
      </c>
      <c r="J51" s="5">
        <f>IFERROR(VLOOKUP(K51,Docentes_Lista!$A$2:$C$212,2,FALSE),"")</f>
        <v>0</v>
      </c>
      <c r="K51" s="4"/>
      <c r="L51" s="2">
        <f>IFERROR(VLOOKUP(K51,Docentes_Lista!$A$2:$C$212,3,FALSE),"")</f>
        <v>0</v>
      </c>
    </row>
    <row r="52" spans="1:12" ht="30" customHeight="1">
      <c r="A52" s="2">
        <v>51</v>
      </c>
      <c r="B52" s="3" t="s">
        <v>12</v>
      </c>
      <c r="C52" s="3" t="s">
        <v>101</v>
      </c>
      <c r="D52" s="4" t="s">
        <v>102</v>
      </c>
      <c r="E52" s="3" t="s">
        <v>21</v>
      </c>
      <c r="F52" s="3" t="s">
        <v>16</v>
      </c>
      <c r="G52" s="3"/>
      <c r="H52" s="4" t="s">
        <v>17</v>
      </c>
      <c r="I52" s="4" t="s">
        <v>18</v>
      </c>
      <c r="J52" s="5">
        <f>IFERROR(VLOOKUP(K52,Docentes_Lista!$A$2:$C$212,2,FALSE),"")</f>
        <v>0</v>
      </c>
      <c r="K52" s="4"/>
      <c r="L52" s="2">
        <f>IFERROR(VLOOKUP(K52,Docentes_Lista!$A$2:$C$212,3,FALSE),"")</f>
        <v>0</v>
      </c>
    </row>
    <row r="53" spans="1:12" ht="30" customHeight="1">
      <c r="A53" s="2">
        <v>52</v>
      </c>
      <c r="B53" s="3" t="s">
        <v>32</v>
      </c>
      <c r="C53" s="3" t="s">
        <v>103</v>
      </c>
      <c r="D53" s="4" t="s">
        <v>104</v>
      </c>
      <c r="E53" s="3" t="s">
        <v>21</v>
      </c>
      <c r="F53" s="3" t="s">
        <v>105</v>
      </c>
      <c r="G53" s="3" t="s">
        <v>36</v>
      </c>
      <c r="H53" s="4" t="s">
        <v>37</v>
      </c>
      <c r="I53" s="4" t="s">
        <v>106</v>
      </c>
      <c r="J53" s="5">
        <f>IFERROR(VLOOKUP(K53,Docentes_Lista!$A$2:$C$212,2,FALSE),"")</f>
        <v>0</v>
      </c>
      <c r="K53" s="4"/>
      <c r="L53" s="2">
        <f>IFERROR(VLOOKUP(K53,Docentes_Lista!$A$2:$C$212,3,FALSE),"")</f>
        <v>0</v>
      </c>
    </row>
    <row r="54" spans="1:12" ht="30" customHeight="1">
      <c r="A54" s="2">
        <v>53</v>
      </c>
      <c r="B54" s="3" t="s">
        <v>32</v>
      </c>
      <c r="C54" s="3" t="s">
        <v>103</v>
      </c>
      <c r="D54" s="4" t="s">
        <v>104</v>
      </c>
      <c r="E54" s="3" t="s">
        <v>41</v>
      </c>
      <c r="F54" s="3" t="s">
        <v>107</v>
      </c>
      <c r="G54" s="3" t="s">
        <v>36</v>
      </c>
      <c r="H54" s="4" t="s">
        <v>37</v>
      </c>
      <c r="I54" s="4" t="s">
        <v>106</v>
      </c>
      <c r="J54" s="5">
        <f>IFERROR(VLOOKUP(K54,Docentes_Lista!$A$2:$C$212,2,FALSE),"")</f>
        <v>0</v>
      </c>
      <c r="K54" s="4"/>
      <c r="L54" s="2">
        <f>IFERROR(VLOOKUP(K54,Docentes_Lista!$A$2:$C$212,3,FALSE),"")</f>
        <v>0</v>
      </c>
    </row>
    <row r="55" spans="1:12" ht="30" customHeight="1">
      <c r="A55" s="2">
        <v>54</v>
      </c>
      <c r="B55" s="3" t="s">
        <v>32</v>
      </c>
      <c r="C55" s="3" t="s">
        <v>103</v>
      </c>
      <c r="D55" s="4" t="s">
        <v>104</v>
      </c>
      <c r="E55" s="3" t="s">
        <v>53</v>
      </c>
      <c r="F55" s="3" t="s">
        <v>108</v>
      </c>
      <c r="G55" s="3" t="s">
        <v>36</v>
      </c>
      <c r="H55" s="4" t="s">
        <v>78</v>
      </c>
      <c r="I55" s="4" t="s">
        <v>106</v>
      </c>
      <c r="J55" s="5">
        <f>IFERROR(VLOOKUP(K55,Docentes_Lista!$A$2:$C$212,2,FALSE),"")</f>
        <v>0</v>
      </c>
      <c r="K55" s="4"/>
      <c r="L55" s="2">
        <f>IFERROR(VLOOKUP(K55,Docentes_Lista!$A$2:$C$212,3,FALSE),"")</f>
        <v>0</v>
      </c>
    </row>
    <row r="56" spans="1:12" ht="30" customHeight="1">
      <c r="A56" s="2">
        <v>55</v>
      </c>
      <c r="B56" s="3" t="s">
        <v>32</v>
      </c>
      <c r="C56" s="3" t="s">
        <v>103</v>
      </c>
      <c r="D56" s="4" t="s">
        <v>104</v>
      </c>
      <c r="E56" s="3" t="s">
        <v>15</v>
      </c>
      <c r="F56" s="3" t="s">
        <v>35</v>
      </c>
      <c r="G56" s="3" t="s">
        <v>36</v>
      </c>
      <c r="H56" s="4" t="s">
        <v>40</v>
      </c>
      <c r="I56" s="4" t="s">
        <v>106</v>
      </c>
      <c r="J56" s="5">
        <f>IFERROR(VLOOKUP(K56,Docentes_Lista!$A$2:$C$212,2,FALSE),"")</f>
        <v>0</v>
      </c>
      <c r="K56" s="4"/>
      <c r="L56" s="2">
        <f>IFERROR(VLOOKUP(K56,Docentes_Lista!$A$2:$C$212,3,FALSE),"")</f>
        <v>0</v>
      </c>
    </row>
    <row r="57" spans="1:12" ht="30" customHeight="1">
      <c r="A57" s="2">
        <v>56</v>
      </c>
      <c r="B57" s="3" t="s">
        <v>32</v>
      </c>
      <c r="C57" s="3" t="s">
        <v>103</v>
      </c>
      <c r="D57" s="4" t="s">
        <v>104</v>
      </c>
      <c r="E57" s="3" t="s">
        <v>50</v>
      </c>
      <c r="F57" s="3" t="s">
        <v>107</v>
      </c>
      <c r="G57" s="3" t="s">
        <v>36</v>
      </c>
      <c r="H57" s="4" t="s">
        <v>40</v>
      </c>
      <c r="I57" s="4" t="s">
        <v>106</v>
      </c>
      <c r="J57" s="5">
        <f>IFERROR(VLOOKUP(K57,Docentes_Lista!$A$2:$C$212,2,FALSE),"")</f>
        <v>0</v>
      </c>
      <c r="K57" s="4"/>
      <c r="L57" s="2">
        <f>IFERROR(VLOOKUP(K57,Docentes_Lista!$A$2:$C$212,3,FALSE),"")</f>
        <v>0</v>
      </c>
    </row>
    <row r="58" spans="1:12" ht="30" customHeight="1">
      <c r="A58" s="2">
        <v>57</v>
      </c>
      <c r="B58" s="3" t="s">
        <v>32</v>
      </c>
      <c r="C58" s="3" t="s">
        <v>103</v>
      </c>
      <c r="D58" s="4" t="s">
        <v>104</v>
      </c>
      <c r="E58" s="3" t="s">
        <v>109</v>
      </c>
      <c r="F58" s="3" t="s">
        <v>83</v>
      </c>
      <c r="G58" s="3" t="s">
        <v>43</v>
      </c>
      <c r="H58" s="4" t="s">
        <v>44</v>
      </c>
      <c r="I58" s="4" t="s">
        <v>110</v>
      </c>
      <c r="J58" s="5">
        <f>IFERROR(VLOOKUP(K58,Docentes_Lista!$A$2:$C$212,2,FALSE),"")</f>
        <v>0</v>
      </c>
      <c r="K58" s="4"/>
      <c r="L58" s="2">
        <f>IFERROR(VLOOKUP(K58,Docentes_Lista!$A$2:$C$212,3,FALSE),"")</f>
        <v>0</v>
      </c>
    </row>
    <row r="59" spans="1:12" ht="30" customHeight="1">
      <c r="A59" s="2">
        <v>58</v>
      </c>
      <c r="B59" s="3" t="s">
        <v>32</v>
      </c>
      <c r="C59" s="3" t="s">
        <v>103</v>
      </c>
      <c r="D59" s="4" t="s">
        <v>104</v>
      </c>
      <c r="E59" s="3" t="s">
        <v>111</v>
      </c>
      <c r="F59" s="3" t="s">
        <v>42</v>
      </c>
      <c r="G59" s="3" t="s">
        <v>43</v>
      </c>
      <c r="H59" s="4" t="s">
        <v>44</v>
      </c>
      <c r="I59" s="4" t="s">
        <v>106</v>
      </c>
      <c r="J59" s="5">
        <f>IFERROR(VLOOKUP(K59,Docentes_Lista!$A$2:$C$212,2,FALSE),"")</f>
        <v>0</v>
      </c>
      <c r="K59" s="4"/>
      <c r="L59" s="2">
        <f>IFERROR(VLOOKUP(K59,Docentes_Lista!$A$2:$C$212,3,FALSE),"")</f>
        <v>0</v>
      </c>
    </row>
    <row r="60" spans="1:12" ht="30" customHeight="1">
      <c r="A60" s="2">
        <v>59</v>
      </c>
      <c r="B60" s="3" t="s">
        <v>32</v>
      </c>
      <c r="C60" s="3" t="s">
        <v>112</v>
      </c>
      <c r="D60" s="4" t="s">
        <v>113</v>
      </c>
      <c r="E60" s="3" t="s">
        <v>15</v>
      </c>
      <c r="F60" s="3" t="s">
        <v>16</v>
      </c>
      <c r="G60" s="3"/>
      <c r="H60" s="4" t="s">
        <v>17</v>
      </c>
      <c r="I60" s="4" t="s">
        <v>18</v>
      </c>
      <c r="J60" s="5">
        <f>IFERROR(VLOOKUP(K60,Docentes_Lista!$A$2:$C$212,2,FALSE),"")</f>
        <v>0</v>
      </c>
      <c r="K60" s="4"/>
      <c r="L60" s="2">
        <f>IFERROR(VLOOKUP(K60,Docentes_Lista!$A$2:$C$212,3,FALSE),"")</f>
        <v>0</v>
      </c>
    </row>
    <row r="61" spans="1:12" ht="30" customHeight="1">
      <c r="A61" s="2">
        <v>60</v>
      </c>
      <c r="B61" s="3" t="s">
        <v>32</v>
      </c>
      <c r="C61" s="3" t="s">
        <v>112</v>
      </c>
      <c r="D61" s="4" t="s">
        <v>113</v>
      </c>
      <c r="E61" s="3" t="s">
        <v>21</v>
      </c>
      <c r="F61" s="3" t="s">
        <v>16</v>
      </c>
      <c r="G61" s="3"/>
      <c r="H61" s="4" t="s">
        <v>17</v>
      </c>
      <c r="I61" s="4" t="s">
        <v>18</v>
      </c>
      <c r="J61" s="5">
        <f>IFERROR(VLOOKUP(K61,Docentes_Lista!$A$2:$C$212,2,FALSE),"")</f>
        <v>0</v>
      </c>
      <c r="K61" s="4"/>
      <c r="L61" s="2">
        <f>IFERROR(VLOOKUP(K61,Docentes_Lista!$A$2:$C$212,3,FALSE),"")</f>
        <v>0</v>
      </c>
    </row>
    <row r="62" spans="1:12" ht="30" customHeight="1">
      <c r="A62" s="2">
        <v>61</v>
      </c>
      <c r="B62" s="3" t="s">
        <v>32</v>
      </c>
      <c r="C62" s="3" t="s">
        <v>112</v>
      </c>
      <c r="D62" s="4" t="s">
        <v>113</v>
      </c>
      <c r="E62" s="3" t="s">
        <v>41</v>
      </c>
      <c r="F62" s="3" t="s">
        <v>16</v>
      </c>
      <c r="G62" s="3"/>
      <c r="H62" s="4" t="s">
        <v>17</v>
      </c>
      <c r="I62" s="4" t="s">
        <v>18</v>
      </c>
      <c r="J62" s="5">
        <f>IFERROR(VLOOKUP(K62,Docentes_Lista!$A$2:$C$212,2,FALSE),"")</f>
        <v>0</v>
      </c>
      <c r="K62" s="4"/>
      <c r="L62" s="2">
        <f>IFERROR(VLOOKUP(K62,Docentes_Lista!$A$2:$C$212,3,FALSE),"")</f>
        <v>0</v>
      </c>
    </row>
    <row r="63" spans="1:12" ht="30" customHeight="1">
      <c r="A63" s="2">
        <v>62</v>
      </c>
      <c r="B63" s="3" t="s">
        <v>32</v>
      </c>
      <c r="C63" s="3" t="s">
        <v>114</v>
      </c>
      <c r="D63" s="4" t="s">
        <v>115</v>
      </c>
      <c r="E63" s="3" t="s">
        <v>15</v>
      </c>
      <c r="F63" s="3" t="s">
        <v>105</v>
      </c>
      <c r="G63" s="3" t="s">
        <v>36</v>
      </c>
      <c r="H63" s="4" t="s">
        <v>37</v>
      </c>
      <c r="I63" s="4" t="s">
        <v>38</v>
      </c>
      <c r="J63" s="5">
        <f>IFERROR(VLOOKUP(K63,Docentes_Lista!$A$2:$C$212,2,FALSE),"")</f>
        <v>0</v>
      </c>
      <c r="K63" s="4"/>
      <c r="L63" s="2">
        <f>IFERROR(VLOOKUP(K63,Docentes_Lista!$A$2:$C$212,3,FALSE),"")</f>
        <v>0</v>
      </c>
    </row>
    <row r="64" spans="1:12" ht="30" customHeight="1">
      <c r="A64" s="2">
        <v>63</v>
      </c>
      <c r="B64" s="3" t="s">
        <v>32</v>
      </c>
      <c r="C64" s="3" t="s">
        <v>114</v>
      </c>
      <c r="D64" s="4" t="s">
        <v>115</v>
      </c>
      <c r="E64" s="3" t="s">
        <v>50</v>
      </c>
      <c r="F64" s="3" t="s">
        <v>39</v>
      </c>
      <c r="G64" s="3" t="s">
        <v>36</v>
      </c>
      <c r="H64" s="4" t="s">
        <v>78</v>
      </c>
      <c r="I64" s="4" t="s">
        <v>38</v>
      </c>
      <c r="J64" s="5">
        <f>IFERROR(VLOOKUP(K64,Docentes_Lista!$A$2:$C$212,2,FALSE),"")</f>
        <v>0</v>
      </c>
      <c r="K64" s="4"/>
      <c r="L64" s="2">
        <f>IFERROR(VLOOKUP(K64,Docentes_Lista!$A$2:$C$212,3,FALSE),"")</f>
        <v>0</v>
      </c>
    </row>
    <row r="65" spans="1:12" ht="30" customHeight="1">
      <c r="A65" s="2">
        <v>64</v>
      </c>
      <c r="B65" s="3" t="s">
        <v>32</v>
      </c>
      <c r="C65" s="3" t="s">
        <v>114</v>
      </c>
      <c r="D65" s="4" t="s">
        <v>115</v>
      </c>
      <c r="E65" s="3" t="s">
        <v>21</v>
      </c>
      <c r="F65" s="3" t="s">
        <v>105</v>
      </c>
      <c r="G65" s="3" t="s">
        <v>36</v>
      </c>
      <c r="H65" s="4" t="s">
        <v>40</v>
      </c>
      <c r="I65" s="4" t="s">
        <v>38</v>
      </c>
      <c r="J65" s="5">
        <f>IFERROR(VLOOKUP(K65,Docentes_Lista!$A$2:$C$212,2,FALSE),"")</f>
        <v>0</v>
      </c>
      <c r="K65" s="4"/>
      <c r="L65" s="2">
        <f>IFERROR(VLOOKUP(K65,Docentes_Lista!$A$2:$C$212,3,FALSE),"")</f>
        <v>0</v>
      </c>
    </row>
    <row r="66" spans="1:12" ht="30" customHeight="1">
      <c r="A66" s="2">
        <v>65</v>
      </c>
      <c r="B66" s="3" t="s">
        <v>32</v>
      </c>
      <c r="C66" s="3" t="s">
        <v>114</v>
      </c>
      <c r="D66" s="4" t="s">
        <v>115</v>
      </c>
      <c r="E66" s="3" t="s">
        <v>41</v>
      </c>
      <c r="F66" s="3" t="s">
        <v>108</v>
      </c>
      <c r="G66" s="3" t="s">
        <v>36</v>
      </c>
      <c r="H66" s="4" t="s">
        <v>40</v>
      </c>
      <c r="I66" s="4" t="s">
        <v>38</v>
      </c>
      <c r="J66" s="5">
        <f>IFERROR(VLOOKUP(K66,Docentes_Lista!$A$2:$C$212,2,FALSE),"")</f>
        <v>0</v>
      </c>
      <c r="K66" s="4"/>
      <c r="L66" s="2">
        <f>IFERROR(VLOOKUP(K66,Docentes_Lista!$A$2:$C$212,3,FALSE),"")</f>
        <v>0</v>
      </c>
    </row>
    <row r="67" spans="1:12" ht="30" customHeight="1">
      <c r="A67" s="2">
        <v>66</v>
      </c>
      <c r="B67" s="3" t="s">
        <v>32</v>
      </c>
      <c r="C67" s="3" t="s">
        <v>114</v>
      </c>
      <c r="D67" s="4" t="s">
        <v>115</v>
      </c>
      <c r="E67" s="3" t="s">
        <v>53</v>
      </c>
      <c r="F67" s="3" t="s">
        <v>39</v>
      </c>
      <c r="G67" s="3" t="s">
        <v>36</v>
      </c>
      <c r="H67" s="4" t="s">
        <v>40</v>
      </c>
      <c r="I67" s="4" t="s">
        <v>38</v>
      </c>
      <c r="J67" s="5">
        <f>IFERROR(VLOOKUP(K67,Docentes_Lista!$A$2:$C$212,2,FALSE),"")</f>
        <v>0</v>
      </c>
      <c r="K67" s="4"/>
      <c r="L67" s="2">
        <f>IFERROR(VLOOKUP(K67,Docentes_Lista!$A$2:$C$212,3,FALSE),"")</f>
        <v>0</v>
      </c>
    </row>
    <row r="68" spans="1:12" ht="30" customHeight="1">
      <c r="A68" s="2">
        <v>67</v>
      </c>
      <c r="B68" s="3" t="s">
        <v>32</v>
      </c>
      <c r="C68" s="3" t="s">
        <v>116</v>
      </c>
      <c r="D68" s="4" t="s">
        <v>117</v>
      </c>
      <c r="E68" s="3" t="s">
        <v>15</v>
      </c>
      <c r="F68" s="3" t="s">
        <v>16</v>
      </c>
      <c r="G68" s="3"/>
      <c r="H68" s="4" t="s">
        <v>17</v>
      </c>
      <c r="I68" s="4" t="s">
        <v>18</v>
      </c>
      <c r="J68" s="5">
        <f>IFERROR(VLOOKUP(K68,Docentes_Lista!$A$2:$C$212,2,FALSE),"")</f>
        <v>0</v>
      </c>
      <c r="K68" s="4"/>
      <c r="L68" s="2">
        <f>IFERROR(VLOOKUP(K68,Docentes_Lista!$A$2:$C$212,3,FALSE),"")</f>
        <v>0</v>
      </c>
    </row>
    <row r="69" spans="1:12" ht="30" customHeight="1">
      <c r="A69" s="2">
        <v>68</v>
      </c>
      <c r="B69" s="3" t="s">
        <v>32</v>
      </c>
      <c r="C69" s="3" t="s">
        <v>116</v>
      </c>
      <c r="D69" s="4" t="s">
        <v>117</v>
      </c>
      <c r="E69" s="3" t="s">
        <v>21</v>
      </c>
      <c r="F69" s="3" t="s">
        <v>16</v>
      </c>
      <c r="G69" s="3"/>
      <c r="H69" s="4" t="s">
        <v>17</v>
      </c>
      <c r="I69" s="4" t="s">
        <v>18</v>
      </c>
      <c r="J69" s="5">
        <f>IFERROR(VLOOKUP(K69,Docentes_Lista!$A$2:$C$212,2,FALSE),"")</f>
        <v>0</v>
      </c>
      <c r="K69" s="4"/>
      <c r="L69" s="2">
        <f>IFERROR(VLOOKUP(K69,Docentes_Lista!$A$2:$C$212,3,FALSE),"")</f>
        <v>0</v>
      </c>
    </row>
    <row r="70" spans="1:12" ht="30" customHeight="1">
      <c r="A70" s="2">
        <v>69</v>
      </c>
      <c r="B70" s="3" t="s">
        <v>32</v>
      </c>
      <c r="C70" s="3" t="s">
        <v>116</v>
      </c>
      <c r="D70" s="4" t="s">
        <v>117</v>
      </c>
      <c r="E70" s="3" t="s">
        <v>41</v>
      </c>
      <c r="F70" s="3" t="s">
        <v>16</v>
      </c>
      <c r="G70" s="3"/>
      <c r="H70" s="4" t="s">
        <v>17</v>
      </c>
      <c r="I70" s="4" t="s">
        <v>18</v>
      </c>
      <c r="J70" s="5">
        <f>IFERROR(VLOOKUP(K70,Docentes_Lista!$A$2:$C$212,2,FALSE),"")</f>
        <v>0</v>
      </c>
      <c r="K70" s="4"/>
      <c r="L70" s="2">
        <f>IFERROR(VLOOKUP(K70,Docentes_Lista!$A$2:$C$212,3,FALSE),"")</f>
        <v>0</v>
      </c>
    </row>
    <row r="71" spans="1:12" ht="30" customHeight="1">
      <c r="A71" s="2">
        <v>70</v>
      </c>
      <c r="B71" s="3" t="s">
        <v>32</v>
      </c>
      <c r="C71" s="3" t="s">
        <v>116</v>
      </c>
      <c r="D71" s="4" t="s">
        <v>117</v>
      </c>
      <c r="E71" s="3" t="s">
        <v>50</v>
      </c>
      <c r="F71" s="3" t="s">
        <v>16</v>
      </c>
      <c r="G71" s="3"/>
      <c r="H71" s="4" t="s">
        <v>17</v>
      </c>
      <c r="I71" s="4" t="s">
        <v>18</v>
      </c>
      <c r="J71" s="5">
        <f>IFERROR(VLOOKUP(K71,Docentes_Lista!$A$2:$C$212,2,FALSE),"")</f>
        <v>0</v>
      </c>
      <c r="K71" s="4"/>
      <c r="L71" s="2">
        <f>IFERROR(VLOOKUP(K71,Docentes_Lista!$A$2:$C$212,3,FALSE),"")</f>
        <v>0</v>
      </c>
    </row>
    <row r="72" spans="1:12" ht="30" customHeight="1">
      <c r="A72" s="2">
        <v>71</v>
      </c>
      <c r="B72" s="3" t="s">
        <v>32</v>
      </c>
      <c r="C72" s="3" t="s">
        <v>118</v>
      </c>
      <c r="D72" s="4" t="s">
        <v>115</v>
      </c>
      <c r="E72" s="3" t="s">
        <v>41</v>
      </c>
      <c r="F72" s="3" t="s">
        <v>39</v>
      </c>
      <c r="G72" s="3" t="s">
        <v>36</v>
      </c>
      <c r="H72" s="4" t="s">
        <v>78</v>
      </c>
      <c r="I72" s="4" t="s">
        <v>106</v>
      </c>
      <c r="J72" s="5">
        <f>IFERROR(VLOOKUP(K72,Docentes_Lista!$A$2:$C$212,2,FALSE),"")</f>
        <v>0</v>
      </c>
      <c r="K72" s="4"/>
      <c r="L72" s="2">
        <f>IFERROR(VLOOKUP(K72,Docentes_Lista!$A$2:$C$212,3,FALSE),"")</f>
        <v>0</v>
      </c>
    </row>
    <row r="73" spans="1:12" ht="30" customHeight="1">
      <c r="A73" s="2">
        <v>72</v>
      </c>
      <c r="B73" s="3" t="s">
        <v>32</v>
      </c>
      <c r="C73" s="3" t="s">
        <v>118</v>
      </c>
      <c r="D73" s="4" t="s">
        <v>115</v>
      </c>
      <c r="E73" s="3" t="s">
        <v>15</v>
      </c>
      <c r="F73" s="3" t="s">
        <v>105</v>
      </c>
      <c r="G73" s="3" t="s">
        <v>36</v>
      </c>
      <c r="H73" s="4" t="s">
        <v>40</v>
      </c>
      <c r="I73" s="4" t="s">
        <v>106</v>
      </c>
      <c r="J73" s="5">
        <f>IFERROR(VLOOKUP(K73,Docentes_Lista!$A$2:$C$212,2,FALSE),"")</f>
        <v>0</v>
      </c>
      <c r="K73" s="4"/>
      <c r="L73" s="2">
        <f>IFERROR(VLOOKUP(K73,Docentes_Lista!$A$2:$C$212,3,FALSE),"")</f>
        <v>0</v>
      </c>
    </row>
    <row r="74" spans="1:12" ht="30" customHeight="1">
      <c r="A74" s="2">
        <v>73</v>
      </c>
      <c r="B74" s="3" t="s">
        <v>32</v>
      </c>
      <c r="C74" s="3" t="s">
        <v>118</v>
      </c>
      <c r="D74" s="4" t="s">
        <v>115</v>
      </c>
      <c r="E74" s="3" t="s">
        <v>21</v>
      </c>
      <c r="F74" s="3" t="s">
        <v>108</v>
      </c>
      <c r="G74" s="3" t="s">
        <v>36</v>
      </c>
      <c r="H74" s="4" t="s">
        <v>40</v>
      </c>
      <c r="I74" s="4" t="s">
        <v>106</v>
      </c>
      <c r="J74" s="5">
        <f>IFERROR(VLOOKUP(K74,Docentes_Lista!$A$2:$C$212,2,FALSE),"")</f>
        <v>0</v>
      </c>
      <c r="K74" s="4"/>
      <c r="L74" s="2">
        <f>IFERROR(VLOOKUP(K74,Docentes_Lista!$A$2:$C$212,3,FALSE),"")</f>
        <v>0</v>
      </c>
    </row>
    <row r="75" spans="1:12" ht="30" customHeight="1">
      <c r="A75" s="2">
        <v>74</v>
      </c>
      <c r="B75" s="3" t="s">
        <v>32</v>
      </c>
      <c r="C75" s="3" t="s">
        <v>118</v>
      </c>
      <c r="D75" s="4" t="s">
        <v>115</v>
      </c>
      <c r="E75" s="3" t="s">
        <v>50</v>
      </c>
      <c r="F75" s="3" t="s">
        <v>83</v>
      </c>
      <c r="G75" s="3" t="s">
        <v>43</v>
      </c>
      <c r="H75" s="4" t="s">
        <v>44</v>
      </c>
      <c r="I75" s="4" t="s">
        <v>106</v>
      </c>
      <c r="J75" s="5">
        <f>IFERROR(VLOOKUP(K75,Docentes_Lista!$A$2:$C$212,2,FALSE),"")</f>
        <v>0</v>
      </c>
      <c r="K75" s="4"/>
      <c r="L75" s="2">
        <f>IFERROR(VLOOKUP(K75,Docentes_Lista!$A$2:$C$212,3,FALSE),"")</f>
        <v>0</v>
      </c>
    </row>
    <row r="76" spans="1:12" ht="30" customHeight="1">
      <c r="A76" s="2">
        <v>75</v>
      </c>
      <c r="B76" s="3" t="s">
        <v>32</v>
      </c>
      <c r="C76" s="3" t="s">
        <v>118</v>
      </c>
      <c r="D76" s="4" t="s">
        <v>115</v>
      </c>
      <c r="E76" s="3" t="s">
        <v>53</v>
      </c>
      <c r="F76" s="3" t="s">
        <v>119</v>
      </c>
      <c r="G76" s="3" t="s">
        <v>43</v>
      </c>
      <c r="H76" s="4" t="s">
        <v>85</v>
      </c>
      <c r="I76" s="4" t="s">
        <v>106</v>
      </c>
      <c r="J76" s="5">
        <f>IFERROR(VLOOKUP(K76,Docentes_Lista!$A$2:$C$212,2,FALSE),"")</f>
        <v>0</v>
      </c>
      <c r="K76" s="4"/>
      <c r="L76" s="2">
        <f>IFERROR(VLOOKUP(K76,Docentes_Lista!$A$2:$C$212,3,FALSE),"")</f>
        <v>0</v>
      </c>
    </row>
    <row r="77" spans="1:12" ht="30" customHeight="1">
      <c r="A77" s="2">
        <v>76</v>
      </c>
      <c r="B77" s="3" t="s">
        <v>32</v>
      </c>
      <c r="C77" s="3" t="s">
        <v>120</v>
      </c>
      <c r="D77" s="4" t="s">
        <v>117</v>
      </c>
      <c r="E77" s="3" t="s">
        <v>15</v>
      </c>
      <c r="F77" s="3" t="s">
        <v>16</v>
      </c>
      <c r="G77" s="3"/>
      <c r="H77" s="4" t="s">
        <v>17</v>
      </c>
      <c r="I77" s="4" t="s">
        <v>18</v>
      </c>
      <c r="J77" s="5">
        <f>IFERROR(VLOOKUP(K77,Docentes_Lista!$A$2:$C$212,2,FALSE),"")</f>
        <v>0</v>
      </c>
      <c r="K77" s="4"/>
      <c r="L77" s="2">
        <f>IFERROR(VLOOKUP(K77,Docentes_Lista!$A$2:$C$212,3,FALSE),"")</f>
        <v>0</v>
      </c>
    </row>
    <row r="78" spans="1:12" ht="30" customHeight="1">
      <c r="A78" s="2">
        <v>77</v>
      </c>
      <c r="B78" s="3" t="s">
        <v>32</v>
      </c>
      <c r="C78" s="3" t="s">
        <v>120</v>
      </c>
      <c r="D78" s="4" t="s">
        <v>117</v>
      </c>
      <c r="E78" s="3" t="s">
        <v>21</v>
      </c>
      <c r="F78" s="3" t="s">
        <v>16</v>
      </c>
      <c r="G78" s="3"/>
      <c r="H78" s="4" t="s">
        <v>17</v>
      </c>
      <c r="I78" s="4" t="s">
        <v>18</v>
      </c>
      <c r="J78" s="5">
        <f>IFERROR(VLOOKUP(K78,Docentes_Lista!$A$2:$C$212,2,FALSE),"")</f>
        <v>0</v>
      </c>
      <c r="K78" s="4"/>
      <c r="L78" s="2">
        <f>IFERROR(VLOOKUP(K78,Docentes_Lista!$A$2:$C$212,3,FALSE),"")</f>
        <v>0</v>
      </c>
    </row>
    <row r="79" spans="1:12" ht="30" customHeight="1">
      <c r="A79" s="2">
        <v>78</v>
      </c>
      <c r="B79" s="3" t="s">
        <v>32</v>
      </c>
      <c r="C79" s="3" t="s">
        <v>121</v>
      </c>
      <c r="D79" s="4" t="s">
        <v>122</v>
      </c>
      <c r="E79" s="3" t="s">
        <v>15</v>
      </c>
      <c r="F79" s="3" t="s">
        <v>16</v>
      </c>
      <c r="G79" s="3"/>
      <c r="H79" s="4" t="s">
        <v>17</v>
      </c>
      <c r="I79" s="4" t="s">
        <v>18</v>
      </c>
      <c r="J79" s="5">
        <f>IFERROR(VLOOKUP(K79,Docentes_Lista!$A$2:$C$212,2,FALSE),"")</f>
        <v>0</v>
      </c>
      <c r="K79" s="4"/>
      <c r="L79" s="2">
        <f>IFERROR(VLOOKUP(K79,Docentes_Lista!$A$2:$C$212,3,FALSE),"")</f>
        <v>0</v>
      </c>
    </row>
    <row r="80" spans="1:12" ht="30" customHeight="1">
      <c r="A80" s="2">
        <v>79</v>
      </c>
      <c r="B80" s="3" t="s">
        <v>32</v>
      </c>
      <c r="C80" s="3" t="s">
        <v>121</v>
      </c>
      <c r="D80" s="4" t="s">
        <v>122</v>
      </c>
      <c r="E80" s="3" t="s">
        <v>21</v>
      </c>
      <c r="F80" s="3" t="s">
        <v>16</v>
      </c>
      <c r="G80" s="3"/>
      <c r="H80" s="4" t="s">
        <v>17</v>
      </c>
      <c r="I80" s="4" t="s">
        <v>18</v>
      </c>
      <c r="J80" s="5">
        <f>IFERROR(VLOOKUP(K80,Docentes_Lista!$A$2:$C$212,2,FALSE),"")</f>
        <v>0</v>
      </c>
      <c r="K80" s="4"/>
      <c r="L80" s="2">
        <f>IFERROR(VLOOKUP(K80,Docentes_Lista!$A$2:$C$212,3,FALSE),"")</f>
        <v>0</v>
      </c>
    </row>
    <row r="81" spans="1:12" ht="30" customHeight="1">
      <c r="A81" s="2">
        <v>80</v>
      </c>
      <c r="B81" s="3" t="s">
        <v>32</v>
      </c>
      <c r="C81" s="3" t="s">
        <v>123</v>
      </c>
      <c r="D81" s="4" t="s">
        <v>124</v>
      </c>
      <c r="E81" s="3" t="s">
        <v>15</v>
      </c>
      <c r="F81" s="3" t="s">
        <v>16</v>
      </c>
      <c r="G81" s="3"/>
      <c r="H81" s="4" t="s">
        <v>17</v>
      </c>
      <c r="I81" s="4" t="s">
        <v>18</v>
      </c>
      <c r="J81" s="5">
        <f>IFERROR(VLOOKUP(K81,Docentes_Lista!$A$2:$C$212,2,FALSE),"")</f>
        <v>0</v>
      </c>
      <c r="K81" s="4"/>
      <c r="L81" s="2">
        <f>IFERROR(VLOOKUP(K81,Docentes_Lista!$A$2:$C$212,3,FALSE),"")</f>
        <v>0</v>
      </c>
    </row>
    <row r="82" spans="1:12" ht="30" customHeight="1">
      <c r="A82" s="2">
        <v>81</v>
      </c>
      <c r="B82" s="3" t="s">
        <v>32</v>
      </c>
      <c r="C82" s="3" t="s">
        <v>123</v>
      </c>
      <c r="D82" s="4" t="s">
        <v>124</v>
      </c>
      <c r="E82" s="3" t="s">
        <v>21</v>
      </c>
      <c r="F82" s="3" t="s">
        <v>16</v>
      </c>
      <c r="G82" s="3"/>
      <c r="H82" s="4" t="s">
        <v>17</v>
      </c>
      <c r="I82" s="4" t="s">
        <v>18</v>
      </c>
      <c r="J82" s="5">
        <f>IFERROR(VLOOKUP(K82,Docentes_Lista!$A$2:$C$212,2,FALSE),"")</f>
        <v>0</v>
      </c>
      <c r="K82" s="4"/>
      <c r="L82" s="2">
        <f>IFERROR(VLOOKUP(K82,Docentes_Lista!$A$2:$C$212,3,FALSE),"")</f>
        <v>0</v>
      </c>
    </row>
    <row r="83" spans="1:12" ht="30" customHeight="1">
      <c r="A83" s="2">
        <v>82</v>
      </c>
      <c r="B83" s="3" t="s">
        <v>32</v>
      </c>
      <c r="C83" s="3" t="s">
        <v>123</v>
      </c>
      <c r="D83" s="4" t="s">
        <v>124</v>
      </c>
      <c r="E83" s="3" t="s">
        <v>41</v>
      </c>
      <c r="F83" s="3" t="s">
        <v>16</v>
      </c>
      <c r="G83" s="3"/>
      <c r="H83" s="4" t="s">
        <v>17</v>
      </c>
      <c r="I83" s="4" t="s">
        <v>18</v>
      </c>
      <c r="J83" s="5">
        <f>IFERROR(VLOOKUP(K83,Docentes_Lista!$A$2:$C$212,2,FALSE),"")</f>
        <v>0</v>
      </c>
      <c r="K83" s="4"/>
      <c r="L83" s="2">
        <f>IFERROR(VLOOKUP(K83,Docentes_Lista!$A$2:$C$212,3,FALSE),"")</f>
        <v>0</v>
      </c>
    </row>
    <row r="84" spans="1:12" ht="30" customHeight="1">
      <c r="A84" s="2">
        <v>83</v>
      </c>
      <c r="B84" s="3" t="s">
        <v>32</v>
      </c>
      <c r="C84" s="3" t="s">
        <v>125</v>
      </c>
      <c r="D84" s="4" t="s">
        <v>104</v>
      </c>
      <c r="E84" s="3" t="s">
        <v>50</v>
      </c>
      <c r="F84" s="3" t="s">
        <v>108</v>
      </c>
      <c r="G84" s="3" t="s">
        <v>36</v>
      </c>
      <c r="H84" s="4" t="s">
        <v>78</v>
      </c>
      <c r="I84" s="4" t="s">
        <v>38</v>
      </c>
      <c r="J84" s="5">
        <f>IFERROR(VLOOKUP(K84,Docentes_Lista!$A$2:$C$212,2,FALSE),"")</f>
        <v>0</v>
      </c>
      <c r="K84" s="4"/>
      <c r="L84" s="2">
        <f>IFERROR(VLOOKUP(K84,Docentes_Lista!$A$2:$C$212,3,FALSE),"")</f>
        <v>0</v>
      </c>
    </row>
    <row r="85" spans="1:12" ht="30" customHeight="1">
      <c r="A85" s="2">
        <v>84</v>
      </c>
      <c r="B85" s="3" t="s">
        <v>32</v>
      </c>
      <c r="C85" s="3" t="s">
        <v>125</v>
      </c>
      <c r="D85" s="4" t="s">
        <v>104</v>
      </c>
      <c r="E85" s="3" t="s">
        <v>109</v>
      </c>
      <c r="F85" s="3" t="s">
        <v>83</v>
      </c>
      <c r="G85" s="3" t="s">
        <v>43</v>
      </c>
      <c r="H85" s="4" t="s">
        <v>37</v>
      </c>
      <c r="I85" s="4" t="s">
        <v>38</v>
      </c>
      <c r="J85" s="5">
        <f>IFERROR(VLOOKUP(K85,Docentes_Lista!$A$2:$C$212,2,FALSE),"")</f>
        <v>0</v>
      </c>
      <c r="K85" s="4"/>
      <c r="L85" s="2">
        <f>IFERROR(VLOOKUP(K85,Docentes_Lista!$A$2:$C$212,3,FALSE),"")</f>
        <v>0</v>
      </c>
    </row>
    <row r="86" spans="1:12" ht="30" customHeight="1">
      <c r="A86" s="2">
        <v>85</v>
      </c>
      <c r="B86" s="3" t="s">
        <v>32</v>
      </c>
      <c r="C86" s="3" t="s">
        <v>125</v>
      </c>
      <c r="D86" s="4" t="s">
        <v>104</v>
      </c>
      <c r="E86" s="3" t="s">
        <v>15</v>
      </c>
      <c r="F86" s="3" t="s">
        <v>35</v>
      </c>
      <c r="G86" s="3" t="s">
        <v>36</v>
      </c>
      <c r="H86" s="4" t="s">
        <v>40</v>
      </c>
      <c r="I86" s="4" t="s">
        <v>38</v>
      </c>
      <c r="J86" s="5">
        <f>IFERROR(VLOOKUP(K86,Docentes_Lista!$A$2:$C$212,2,FALSE),"")</f>
        <v>0</v>
      </c>
      <c r="K86" s="4"/>
      <c r="L86" s="2">
        <f>IFERROR(VLOOKUP(K86,Docentes_Lista!$A$2:$C$212,3,FALSE),"")</f>
        <v>0</v>
      </c>
    </row>
    <row r="87" spans="1:12" ht="30" customHeight="1">
      <c r="A87" s="2">
        <v>86</v>
      </c>
      <c r="B87" s="3" t="s">
        <v>32</v>
      </c>
      <c r="C87" s="3" t="s">
        <v>125</v>
      </c>
      <c r="D87" s="4" t="s">
        <v>104</v>
      </c>
      <c r="E87" s="3" t="s">
        <v>41</v>
      </c>
      <c r="F87" s="3" t="s">
        <v>105</v>
      </c>
      <c r="G87" s="3" t="s">
        <v>36</v>
      </c>
      <c r="H87" s="4" t="s">
        <v>40</v>
      </c>
      <c r="I87" s="4" t="s">
        <v>38</v>
      </c>
      <c r="J87" s="5">
        <f>IFERROR(VLOOKUP(K87,Docentes_Lista!$A$2:$C$212,2,FALSE),"")</f>
        <v>0</v>
      </c>
      <c r="K87" s="4"/>
      <c r="L87" s="2">
        <f>IFERROR(VLOOKUP(K87,Docentes_Lista!$A$2:$C$212,3,FALSE),"")</f>
        <v>0</v>
      </c>
    </row>
    <row r="88" spans="1:12" ht="30" customHeight="1">
      <c r="A88" s="2">
        <v>87</v>
      </c>
      <c r="B88" s="3" t="s">
        <v>32</v>
      </c>
      <c r="C88" s="3" t="s">
        <v>125</v>
      </c>
      <c r="D88" s="4" t="s">
        <v>104</v>
      </c>
      <c r="E88" s="3" t="s">
        <v>53</v>
      </c>
      <c r="F88" s="3" t="s">
        <v>39</v>
      </c>
      <c r="G88" s="3" t="s">
        <v>36</v>
      </c>
      <c r="H88" s="4" t="s">
        <v>40</v>
      </c>
      <c r="I88" s="4" t="s">
        <v>38</v>
      </c>
      <c r="J88" s="5">
        <f>IFERROR(VLOOKUP(K88,Docentes_Lista!$A$2:$C$212,2,FALSE),"")</f>
        <v>0</v>
      </c>
      <c r="K88" s="4"/>
      <c r="L88" s="2">
        <f>IFERROR(VLOOKUP(K88,Docentes_Lista!$A$2:$C$212,3,FALSE),"")</f>
        <v>0</v>
      </c>
    </row>
    <row r="89" spans="1:12" ht="30" customHeight="1">
      <c r="A89" s="2">
        <v>88</v>
      </c>
      <c r="B89" s="3" t="s">
        <v>32</v>
      </c>
      <c r="C89" s="3" t="s">
        <v>125</v>
      </c>
      <c r="D89" s="4" t="s">
        <v>104</v>
      </c>
      <c r="E89" s="3" t="s">
        <v>21</v>
      </c>
      <c r="F89" s="3" t="s">
        <v>35</v>
      </c>
      <c r="G89" s="3" t="s">
        <v>36</v>
      </c>
      <c r="H89" s="4" t="s">
        <v>49</v>
      </c>
      <c r="I89" s="4" t="s">
        <v>38</v>
      </c>
      <c r="J89" s="5">
        <f>IFERROR(VLOOKUP(K89,Docentes_Lista!$A$2:$C$212,2,FALSE),"")</f>
        <v>0</v>
      </c>
      <c r="K89" s="4"/>
      <c r="L89" s="2">
        <f>IFERROR(VLOOKUP(K89,Docentes_Lista!$A$2:$C$212,3,FALSE),"")</f>
        <v>0</v>
      </c>
    </row>
    <row r="90" spans="1:12" ht="30" customHeight="1">
      <c r="A90" s="2">
        <v>89</v>
      </c>
      <c r="B90" s="3" t="s">
        <v>32</v>
      </c>
      <c r="C90" s="3" t="s">
        <v>125</v>
      </c>
      <c r="D90" s="4" t="s">
        <v>104</v>
      </c>
      <c r="E90" s="3" t="s">
        <v>111</v>
      </c>
      <c r="F90" s="3" t="s">
        <v>84</v>
      </c>
      <c r="G90" s="3" t="s">
        <v>43</v>
      </c>
      <c r="H90" s="4" t="s">
        <v>85</v>
      </c>
      <c r="I90" s="4" t="s">
        <v>106</v>
      </c>
      <c r="J90" s="5">
        <f>IFERROR(VLOOKUP(K90,Docentes_Lista!$A$2:$C$212,2,FALSE),"")</f>
        <v>0</v>
      </c>
      <c r="K90" s="4"/>
      <c r="L90" s="2">
        <f>IFERROR(VLOOKUP(K90,Docentes_Lista!$A$2:$C$212,3,FALSE),"")</f>
        <v>0</v>
      </c>
    </row>
    <row r="91" spans="1:12" ht="30" customHeight="1">
      <c r="A91" s="2">
        <v>90</v>
      </c>
      <c r="B91" s="3" t="s">
        <v>32</v>
      </c>
      <c r="C91" s="3" t="s">
        <v>126</v>
      </c>
      <c r="D91" s="4" t="s">
        <v>113</v>
      </c>
      <c r="E91" s="3" t="s">
        <v>15</v>
      </c>
      <c r="F91" s="3" t="s">
        <v>16</v>
      </c>
      <c r="G91" s="3"/>
      <c r="H91" s="4" t="s">
        <v>17</v>
      </c>
      <c r="I91" s="4" t="s">
        <v>18</v>
      </c>
      <c r="J91" s="5">
        <f>IFERROR(VLOOKUP(K91,Docentes_Lista!$A$2:$C$212,2,FALSE),"")</f>
        <v>0</v>
      </c>
      <c r="K91" s="4"/>
      <c r="L91" s="2">
        <f>IFERROR(VLOOKUP(K91,Docentes_Lista!$A$2:$C$212,3,FALSE),"")</f>
        <v>0</v>
      </c>
    </row>
    <row r="92" spans="1:12" ht="30" customHeight="1">
      <c r="A92" s="2">
        <v>91</v>
      </c>
      <c r="B92" s="3" t="s">
        <v>32</v>
      </c>
      <c r="C92" s="3" t="s">
        <v>126</v>
      </c>
      <c r="D92" s="4" t="s">
        <v>113</v>
      </c>
      <c r="E92" s="3" t="s">
        <v>21</v>
      </c>
      <c r="F92" s="3" t="s">
        <v>16</v>
      </c>
      <c r="G92" s="3"/>
      <c r="H92" s="4" t="s">
        <v>17</v>
      </c>
      <c r="I92" s="4" t="s">
        <v>18</v>
      </c>
      <c r="J92" s="5">
        <f>IFERROR(VLOOKUP(K92,Docentes_Lista!$A$2:$C$212,2,FALSE),"")</f>
        <v>0</v>
      </c>
      <c r="K92" s="4"/>
      <c r="L92" s="2">
        <f>IFERROR(VLOOKUP(K92,Docentes_Lista!$A$2:$C$212,3,FALSE),"")</f>
        <v>0</v>
      </c>
    </row>
    <row r="93" spans="1:12" ht="30" customHeight="1">
      <c r="A93" s="2">
        <v>92</v>
      </c>
      <c r="B93" s="3" t="s">
        <v>32</v>
      </c>
      <c r="C93" s="3" t="s">
        <v>126</v>
      </c>
      <c r="D93" s="4" t="s">
        <v>113</v>
      </c>
      <c r="E93" s="3" t="s">
        <v>41</v>
      </c>
      <c r="F93" s="3" t="s">
        <v>16</v>
      </c>
      <c r="G93" s="3"/>
      <c r="H93" s="4" t="s">
        <v>17</v>
      </c>
      <c r="I93" s="4" t="s">
        <v>18</v>
      </c>
      <c r="J93" s="5">
        <f>IFERROR(VLOOKUP(K93,Docentes_Lista!$A$2:$C$212,2,FALSE),"")</f>
        <v>0</v>
      </c>
      <c r="K93" s="4"/>
      <c r="L93" s="2">
        <f>IFERROR(VLOOKUP(K93,Docentes_Lista!$A$2:$C$212,3,FALSE),"")</f>
        <v>0</v>
      </c>
    </row>
    <row r="94" spans="1:12" ht="30" customHeight="1">
      <c r="A94" s="2">
        <v>93</v>
      </c>
      <c r="B94" s="3" t="s">
        <v>32</v>
      </c>
      <c r="C94" s="3" t="s">
        <v>126</v>
      </c>
      <c r="D94" s="4" t="s">
        <v>113</v>
      </c>
      <c r="E94" s="3" t="s">
        <v>50</v>
      </c>
      <c r="F94" s="3" t="s">
        <v>16</v>
      </c>
      <c r="G94" s="3"/>
      <c r="H94" s="4" t="s">
        <v>17</v>
      </c>
      <c r="I94" s="4" t="s">
        <v>18</v>
      </c>
      <c r="J94" s="5">
        <f>IFERROR(VLOOKUP(K94,Docentes_Lista!$A$2:$C$212,2,FALSE),"")</f>
        <v>0</v>
      </c>
      <c r="K94" s="4"/>
      <c r="L94" s="2">
        <f>IFERROR(VLOOKUP(K94,Docentes_Lista!$A$2:$C$212,3,FALSE),"")</f>
        <v>0</v>
      </c>
    </row>
    <row r="95" spans="1:12" ht="30" customHeight="1">
      <c r="A95" s="2">
        <v>94</v>
      </c>
      <c r="B95" s="3" t="s">
        <v>32</v>
      </c>
      <c r="C95" s="3" t="s">
        <v>127</v>
      </c>
      <c r="D95" s="4" t="s">
        <v>128</v>
      </c>
      <c r="E95" s="3" t="s">
        <v>21</v>
      </c>
      <c r="F95" s="3" t="s">
        <v>108</v>
      </c>
      <c r="G95" s="3" t="s">
        <v>36</v>
      </c>
      <c r="H95" s="4" t="s">
        <v>78</v>
      </c>
      <c r="I95" s="4" t="s">
        <v>38</v>
      </c>
      <c r="J95" s="5">
        <f>IFERROR(VLOOKUP(K95,Docentes_Lista!$A$2:$C$212,2,FALSE),"")</f>
        <v>0</v>
      </c>
      <c r="K95" s="4"/>
      <c r="L95" s="2">
        <f>IFERROR(VLOOKUP(K95,Docentes_Lista!$A$2:$C$212,3,FALSE),"")</f>
        <v>0</v>
      </c>
    </row>
    <row r="96" spans="1:12" ht="30" customHeight="1">
      <c r="A96" s="2">
        <v>95</v>
      </c>
      <c r="B96" s="3" t="s">
        <v>32</v>
      </c>
      <c r="C96" s="3" t="s">
        <v>127</v>
      </c>
      <c r="D96" s="4" t="s">
        <v>128</v>
      </c>
      <c r="E96" s="3" t="s">
        <v>50</v>
      </c>
      <c r="F96" s="3" t="s">
        <v>39</v>
      </c>
      <c r="G96" s="3" t="s">
        <v>36</v>
      </c>
      <c r="H96" s="4" t="s">
        <v>78</v>
      </c>
      <c r="I96" s="4" t="s">
        <v>38</v>
      </c>
      <c r="J96" s="5">
        <f>IFERROR(VLOOKUP(K96,Docentes_Lista!$A$2:$C$212,2,FALSE),"")</f>
        <v>0</v>
      </c>
      <c r="K96" s="4"/>
      <c r="L96" s="2">
        <f>IFERROR(VLOOKUP(K96,Docentes_Lista!$A$2:$C$212,3,FALSE),"")</f>
        <v>0</v>
      </c>
    </row>
    <row r="97" spans="1:12" ht="30" customHeight="1">
      <c r="A97" s="2">
        <v>96</v>
      </c>
      <c r="B97" s="3" t="s">
        <v>32</v>
      </c>
      <c r="C97" s="3" t="s">
        <v>127</v>
      </c>
      <c r="D97" s="4" t="s">
        <v>128</v>
      </c>
      <c r="E97" s="3" t="s">
        <v>41</v>
      </c>
      <c r="F97" s="3" t="s">
        <v>108</v>
      </c>
      <c r="G97" s="3" t="s">
        <v>36</v>
      </c>
      <c r="H97" s="4" t="s">
        <v>40</v>
      </c>
      <c r="I97" s="4" t="s">
        <v>38</v>
      </c>
      <c r="J97" s="5">
        <f>IFERROR(VLOOKUP(K97,Docentes_Lista!$A$2:$C$212,2,FALSE),"")</f>
        <v>0</v>
      </c>
      <c r="K97" s="4"/>
      <c r="L97" s="2">
        <f>IFERROR(VLOOKUP(K97,Docentes_Lista!$A$2:$C$212,3,FALSE),"")</f>
        <v>0</v>
      </c>
    </row>
    <row r="98" spans="1:12" ht="30" customHeight="1">
      <c r="A98" s="2">
        <v>97</v>
      </c>
      <c r="B98" s="3" t="s">
        <v>32</v>
      </c>
      <c r="C98" s="3" t="s">
        <v>127</v>
      </c>
      <c r="D98" s="4" t="s">
        <v>128</v>
      </c>
      <c r="E98" s="3" t="s">
        <v>53</v>
      </c>
      <c r="F98" s="3" t="s">
        <v>39</v>
      </c>
      <c r="G98" s="3" t="s">
        <v>36</v>
      </c>
      <c r="H98" s="4" t="s">
        <v>40</v>
      </c>
      <c r="I98" s="4" t="s">
        <v>38</v>
      </c>
      <c r="J98" s="5">
        <f>IFERROR(VLOOKUP(K98,Docentes_Lista!$A$2:$C$212,2,FALSE),"")</f>
        <v>0</v>
      </c>
      <c r="K98" s="4"/>
      <c r="L98" s="2">
        <f>IFERROR(VLOOKUP(K98,Docentes_Lista!$A$2:$C$212,3,FALSE),"")</f>
        <v>0</v>
      </c>
    </row>
    <row r="99" spans="1:12" ht="30" customHeight="1">
      <c r="A99" s="2">
        <v>98</v>
      </c>
      <c r="B99" s="3" t="s">
        <v>32</v>
      </c>
      <c r="C99" s="3" t="s">
        <v>127</v>
      </c>
      <c r="D99" s="4" t="s">
        <v>128</v>
      </c>
      <c r="E99" s="3" t="s">
        <v>15</v>
      </c>
      <c r="F99" s="3" t="s">
        <v>35</v>
      </c>
      <c r="G99" s="3" t="s">
        <v>36</v>
      </c>
      <c r="H99" s="4" t="s">
        <v>49</v>
      </c>
      <c r="I99" s="4" t="s">
        <v>38</v>
      </c>
      <c r="J99" s="5">
        <f>IFERROR(VLOOKUP(K99,Docentes_Lista!$A$2:$C$212,2,FALSE),"")</f>
        <v>0</v>
      </c>
      <c r="K99" s="4"/>
      <c r="L99" s="2">
        <f>IFERROR(VLOOKUP(K99,Docentes_Lista!$A$2:$C$212,3,FALSE),"")</f>
        <v>0</v>
      </c>
    </row>
    <row r="100" spans="1:12" ht="30" customHeight="1">
      <c r="A100" s="2">
        <v>99</v>
      </c>
      <c r="B100" s="3" t="s">
        <v>32</v>
      </c>
      <c r="C100" s="3" t="s">
        <v>127</v>
      </c>
      <c r="D100" s="4" t="s">
        <v>128</v>
      </c>
      <c r="E100" s="3" t="s">
        <v>111</v>
      </c>
      <c r="F100" s="3" t="s">
        <v>119</v>
      </c>
      <c r="G100" s="3" t="s">
        <v>43</v>
      </c>
      <c r="H100" s="4" t="s">
        <v>85</v>
      </c>
      <c r="I100" s="4" t="s">
        <v>38</v>
      </c>
      <c r="J100" s="5">
        <f>IFERROR(VLOOKUP(K100,Docentes_Lista!$A$2:$C$212,2,FALSE),"")</f>
        <v>0</v>
      </c>
      <c r="K100" s="4"/>
      <c r="L100" s="2">
        <f>IFERROR(VLOOKUP(K100,Docentes_Lista!$A$2:$C$212,3,FALSE),"")</f>
        <v>0</v>
      </c>
    </row>
    <row r="101" spans="1:12" ht="30" customHeight="1">
      <c r="A101" s="2">
        <v>100</v>
      </c>
      <c r="B101" s="3" t="s">
        <v>32</v>
      </c>
      <c r="C101" s="3" t="s">
        <v>127</v>
      </c>
      <c r="D101" s="4" t="s">
        <v>128</v>
      </c>
      <c r="E101" s="3" t="s">
        <v>129</v>
      </c>
      <c r="F101" s="3" t="s">
        <v>84</v>
      </c>
      <c r="G101" s="3" t="s">
        <v>43</v>
      </c>
      <c r="H101" s="4" t="s">
        <v>85</v>
      </c>
      <c r="I101" s="4" t="s">
        <v>38</v>
      </c>
      <c r="J101" s="5">
        <f>IFERROR(VLOOKUP(K101,Docentes_Lista!$A$2:$C$212,2,FALSE),"")</f>
        <v>0</v>
      </c>
      <c r="K101" s="4"/>
      <c r="L101" s="2">
        <f>IFERROR(VLOOKUP(K101,Docentes_Lista!$A$2:$C$212,3,FALSE),"")</f>
        <v>0</v>
      </c>
    </row>
    <row r="102" spans="1:12" ht="30" customHeight="1">
      <c r="A102" s="2">
        <v>101</v>
      </c>
      <c r="B102" s="3" t="s">
        <v>32</v>
      </c>
      <c r="C102" s="3" t="s">
        <v>130</v>
      </c>
      <c r="D102" s="4" t="s">
        <v>131</v>
      </c>
      <c r="E102" s="3" t="s">
        <v>15</v>
      </c>
      <c r="F102" s="3" t="s">
        <v>16</v>
      </c>
      <c r="G102" s="3"/>
      <c r="H102" s="4" t="s">
        <v>17</v>
      </c>
      <c r="I102" s="4" t="s">
        <v>18</v>
      </c>
      <c r="J102" s="5">
        <f>IFERROR(VLOOKUP(K102,Docentes_Lista!$A$2:$C$212,2,FALSE),"")</f>
        <v>0</v>
      </c>
      <c r="K102" s="4"/>
      <c r="L102" s="2">
        <f>IFERROR(VLOOKUP(K102,Docentes_Lista!$A$2:$C$212,3,FALSE),"")</f>
        <v>0</v>
      </c>
    </row>
    <row r="103" spans="1:12" ht="30" customHeight="1">
      <c r="A103" s="2">
        <v>102</v>
      </c>
      <c r="B103" s="3" t="s">
        <v>32</v>
      </c>
      <c r="C103" s="3" t="s">
        <v>130</v>
      </c>
      <c r="D103" s="4" t="s">
        <v>131</v>
      </c>
      <c r="E103" s="3" t="s">
        <v>21</v>
      </c>
      <c r="F103" s="3" t="s">
        <v>16</v>
      </c>
      <c r="G103" s="3"/>
      <c r="H103" s="4" t="s">
        <v>17</v>
      </c>
      <c r="I103" s="4" t="s">
        <v>18</v>
      </c>
      <c r="J103" s="5">
        <f>IFERROR(VLOOKUP(K103,Docentes_Lista!$A$2:$C$212,2,FALSE),"")</f>
        <v>0</v>
      </c>
      <c r="K103" s="4"/>
      <c r="L103" s="2">
        <f>IFERROR(VLOOKUP(K103,Docentes_Lista!$A$2:$C$212,3,FALSE),"")</f>
        <v>0</v>
      </c>
    </row>
    <row r="104" spans="1:12" ht="30" customHeight="1">
      <c r="A104" s="2">
        <v>103</v>
      </c>
      <c r="B104" s="3" t="s">
        <v>32</v>
      </c>
      <c r="C104" s="3" t="s">
        <v>130</v>
      </c>
      <c r="D104" s="4" t="s">
        <v>131</v>
      </c>
      <c r="E104" s="3" t="s">
        <v>41</v>
      </c>
      <c r="F104" s="3" t="s">
        <v>16</v>
      </c>
      <c r="G104" s="3"/>
      <c r="H104" s="4" t="s">
        <v>17</v>
      </c>
      <c r="I104" s="4" t="s">
        <v>18</v>
      </c>
      <c r="J104" s="5">
        <f>IFERROR(VLOOKUP(K104,Docentes_Lista!$A$2:$C$212,2,FALSE),"")</f>
        <v>0</v>
      </c>
      <c r="K104" s="4"/>
      <c r="L104" s="2">
        <f>IFERROR(VLOOKUP(K104,Docentes_Lista!$A$2:$C$212,3,FALSE),"")</f>
        <v>0</v>
      </c>
    </row>
    <row r="105" spans="1:12" ht="30" customHeight="1">
      <c r="A105" s="2">
        <v>104</v>
      </c>
      <c r="B105" s="3" t="s">
        <v>32</v>
      </c>
      <c r="C105" s="3" t="s">
        <v>130</v>
      </c>
      <c r="D105" s="4" t="s">
        <v>131</v>
      </c>
      <c r="E105" s="3" t="s">
        <v>50</v>
      </c>
      <c r="F105" s="3" t="s">
        <v>16</v>
      </c>
      <c r="G105" s="3"/>
      <c r="H105" s="4" t="s">
        <v>17</v>
      </c>
      <c r="I105" s="4" t="s">
        <v>18</v>
      </c>
      <c r="J105" s="5">
        <f>IFERROR(VLOOKUP(K105,Docentes_Lista!$A$2:$C$212,2,FALSE),"")</f>
        <v>0</v>
      </c>
      <c r="K105" s="4"/>
      <c r="L105" s="2">
        <f>IFERROR(VLOOKUP(K105,Docentes_Lista!$A$2:$C$212,3,FALSE),"")</f>
        <v>0</v>
      </c>
    </row>
    <row r="106" spans="1:12" ht="30" customHeight="1">
      <c r="A106" s="2">
        <v>105</v>
      </c>
      <c r="B106" s="3" t="s">
        <v>12</v>
      </c>
      <c r="C106" s="3" t="s">
        <v>132</v>
      </c>
      <c r="D106" s="4" t="s">
        <v>133</v>
      </c>
      <c r="E106" s="3" t="s">
        <v>15</v>
      </c>
      <c r="F106" s="3" t="s">
        <v>39</v>
      </c>
      <c r="G106" s="3" t="s">
        <v>36</v>
      </c>
      <c r="H106" s="4" t="s">
        <v>66</v>
      </c>
      <c r="I106" s="4" t="s">
        <v>38</v>
      </c>
      <c r="J106" s="5">
        <f>IFERROR(VLOOKUP(K106,Docentes_Lista!$A$2:$C$212,2,FALSE),"")</f>
        <v>0</v>
      </c>
      <c r="K106" s="4"/>
      <c r="L106" s="2">
        <f>IFERROR(VLOOKUP(K106,Docentes_Lista!$A$2:$C$212,3,FALSE),"")</f>
        <v>0</v>
      </c>
    </row>
    <row r="107" spans="1:12" ht="30" customHeight="1">
      <c r="A107" s="2">
        <v>106</v>
      </c>
      <c r="B107" s="3" t="s">
        <v>12</v>
      </c>
      <c r="C107" s="3" t="s">
        <v>134</v>
      </c>
      <c r="D107" s="4" t="s">
        <v>135</v>
      </c>
      <c r="E107" s="3" t="s">
        <v>15</v>
      </c>
      <c r="F107" s="3" t="s">
        <v>16</v>
      </c>
      <c r="G107" s="3"/>
      <c r="H107" s="4" t="s">
        <v>17</v>
      </c>
      <c r="I107" s="4" t="s">
        <v>18</v>
      </c>
      <c r="J107" s="5">
        <f>IFERROR(VLOOKUP(K107,Docentes_Lista!$A$2:$C$212,2,FALSE),"")</f>
        <v>0</v>
      </c>
      <c r="K107" s="4"/>
      <c r="L107" s="2">
        <f>IFERROR(VLOOKUP(K107,Docentes_Lista!$A$2:$C$212,3,FALSE),"")</f>
        <v>0</v>
      </c>
    </row>
    <row r="108" spans="1:12" ht="30" customHeight="1">
      <c r="A108" s="2">
        <v>107</v>
      </c>
      <c r="B108" s="3" t="s">
        <v>12</v>
      </c>
      <c r="C108" s="3" t="s">
        <v>134</v>
      </c>
      <c r="D108" s="4" t="s">
        <v>135</v>
      </c>
      <c r="E108" s="3" t="s">
        <v>21</v>
      </c>
      <c r="F108" s="3" t="s">
        <v>16</v>
      </c>
      <c r="G108" s="3"/>
      <c r="H108" s="4" t="s">
        <v>17</v>
      </c>
      <c r="I108" s="4" t="s">
        <v>18</v>
      </c>
      <c r="J108" s="5">
        <f>IFERROR(VLOOKUP(K108,Docentes_Lista!$A$2:$C$212,2,FALSE),"")</f>
        <v>0</v>
      </c>
      <c r="K108" s="4"/>
      <c r="L108" s="2">
        <f>IFERROR(VLOOKUP(K108,Docentes_Lista!$A$2:$C$212,3,FALSE),"")</f>
        <v>0</v>
      </c>
    </row>
    <row r="109" spans="1:12" ht="30" customHeight="1">
      <c r="A109" s="2">
        <v>108</v>
      </c>
      <c r="B109" s="3" t="s">
        <v>12</v>
      </c>
      <c r="C109" s="3" t="s">
        <v>134</v>
      </c>
      <c r="D109" s="4" t="s">
        <v>135</v>
      </c>
      <c r="E109" s="3" t="s">
        <v>41</v>
      </c>
      <c r="F109" s="3" t="s">
        <v>16</v>
      </c>
      <c r="G109" s="3"/>
      <c r="H109" s="4" t="s">
        <v>17</v>
      </c>
      <c r="I109" s="4" t="s">
        <v>18</v>
      </c>
      <c r="J109" s="5">
        <f>IFERROR(VLOOKUP(K109,Docentes_Lista!$A$2:$C$212,2,FALSE),"")</f>
        <v>0</v>
      </c>
      <c r="K109" s="4"/>
      <c r="L109" s="2">
        <f>IFERROR(VLOOKUP(K109,Docentes_Lista!$A$2:$C$212,3,FALSE),"")</f>
        <v>0</v>
      </c>
    </row>
    <row r="110" spans="1:12" ht="30" customHeight="1">
      <c r="A110" s="2">
        <v>109</v>
      </c>
      <c r="B110" s="3" t="s">
        <v>32</v>
      </c>
      <c r="C110" s="3" t="s">
        <v>136</v>
      </c>
      <c r="D110" s="4" t="s">
        <v>137</v>
      </c>
      <c r="E110" s="3" t="s">
        <v>15</v>
      </c>
      <c r="F110" s="3" t="s">
        <v>35</v>
      </c>
      <c r="G110" s="3" t="s">
        <v>36</v>
      </c>
      <c r="H110" s="4" t="s">
        <v>37</v>
      </c>
      <c r="I110" s="4" t="s">
        <v>38</v>
      </c>
      <c r="J110" s="5">
        <f>IFERROR(VLOOKUP(K110,Docentes_Lista!$A$2:$C$212,2,FALSE),"")</f>
        <v>0</v>
      </c>
      <c r="K110" s="4"/>
      <c r="L110" s="2">
        <f>IFERROR(VLOOKUP(K110,Docentes_Lista!$A$2:$C$212,3,FALSE),"")</f>
        <v>0</v>
      </c>
    </row>
    <row r="111" spans="1:12" ht="30" customHeight="1">
      <c r="A111" s="2">
        <v>110</v>
      </c>
      <c r="B111" s="3" t="s">
        <v>32</v>
      </c>
      <c r="C111" s="3" t="s">
        <v>138</v>
      </c>
      <c r="D111" s="4" t="s">
        <v>139</v>
      </c>
      <c r="E111" s="3" t="s">
        <v>15</v>
      </c>
      <c r="F111" s="3" t="s">
        <v>16</v>
      </c>
      <c r="G111" s="3"/>
      <c r="H111" s="4" t="s">
        <v>17</v>
      </c>
      <c r="I111" s="4" t="s">
        <v>18</v>
      </c>
      <c r="J111" s="5">
        <f>IFERROR(VLOOKUP(K111,Docentes_Lista!$A$2:$C$212,2,FALSE),"")</f>
        <v>0</v>
      </c>
      <c r="K111" s="4"/>
      <c r="L111" s="2">
        <f>IFERROR(VLOOKUP(K111,Docentes_Lista!$A$2:$C$212,3,FALSE),"")</f>
        <v>0</v>
      </c>
    </row>
    <row r="112" spans="1:12" ht="30" customHeight="1">
      <c r="A112" s="2">
        <v>111</v>
      </c>
      <c r="B112" s="3" t="s">
        <v>32</v>
      </c>
      <c r="C112" s="3" t="s">
        <v>138</v>
      </c>
      <c r="D112" s="4" t="s">
        <v>139</v>
      </c>
      <c r="E112" s="3" t="s">
        <v>21</v>
      </c>
      <c r="F112" s="3" t="s">
        <v>16</v>
      </c>
      <c r="G112" s="3"/>
      <c r="H112" s="4" t="s">
        <v>17</v>
      </c>
      <c r="I112" s="4" t="s">
        <v>18</v>
      </c>
      <c r="J112" s="5">
        <f>IFERROR(VLOOKUP(K112,Docentes_Lista!$A$2:$C$212,2,FALSE),"")</f>
        <v>0</v>
      </c>
      <c r="K112" s="4"/>
      <c r="L112" s="2">
        <f>IFERROR(VLOOKUP(K112,Docentes_Lista!$A$2:$C$212,3,FALSE),"")</f>
        <v>0</v>
      </c>
    </row>
    <row r="113" spans="1:12" ht="30" customHeight="1">
      <c r="A113" s="2">
        <v>112</v>
      </c>
      <c r="B113" s="3" t="s">
        <v>12</v>
      </c>
      <c r="C113" s="3" t="s">
        <v>140</v>
      </c>
      <c r="D113" s="4" t="s">
        <v>141</v>
      </c>
      <c r="E113" s="3" t="s">
        <v>15</v>
      </c>
      <c r="F113" s="3" t="s">
        <v>39</v>
      </c>
      <c r="G113" s="3" t="s">
        <v>36</v>
      </c>
      <c r="H113" s="4" t="s">
        <v>66</v>
      </c>
      <c r="I113" s="4" t="s">
        <v>38</v>
      </c>
      <c r="J113" s="5">
        <f>IFERROR(VLOOKUP(K113,Docentes_Lista!$A$2:$C$212,2,FALSE),"")</f>
        <v>0</v>
      </c>
      <c r="K113" s="4"/>
      <c r="L113" s="2">
        <f>IFERROR(VLOOKUP(K113,Docentes_Lista!$A$2:$C$212,3,FALSE),"")</f>
        <v>0</v>
      </c>
    </row>
    <row r="114" spans="1:12" ht="30" customHeight="1">
      <c r="A114" s="2">
        <v>113</v>
      </c>
      <c r="B114" s="3" t="s">
        <v>12</v>
      </c>
      <c r="C114" s="3" t="s">
        <v>142</v>
      </c>
      <c r="D114" s="4" t="s">
        <v>143</v>
      </c>
      <c r="E114" s="3" t="s">
        <v>15</v>
      </c>
      <c r="F114" s="3" t="s">
        <v>16</v>
      </c>
      <c r="G114" s="3"/>
      <c r="H114" s="4" t="s">
        <v>17</v>
      </c>
      <c r="I114" s="4" t="s">
        <v>18</v>
      </c>
      <c r="J114" s="5">
        <f>IFERROR(VLOOKUP(K114,Docentes_Lista!$A$2:$C$212,2,FALSE),"")</f>
        <v>0</v>
      </c>
      <c r="K114" s="4"/>
      <c r="L114" s="2">
        <f>IFERROR(VLOOKUP(K114,Docentes_Lista!$A$2:$C$212,3,FALSE),"")</f>
        <v>0</v>
      </c>
    </row>
    <row r="115" spans="1:12" ht="30" customHeight="1">
      <c r="A115" s="2">
        <v>114</v>
      </c>
      <c r="B115" s="3" t="s">
        <v>12</v>
      </c>
      <c r="C115" s="3" t="s">
        <v>144</v>
      </c>
      <c r="D115" s="4" t="s">
        <v>145</v>
      </c>
      <c r="E115" s="3" t="s">
        <v>15</v>
      </c>
      <c r="F115" s="3" t="s">
        <v>16</v>
      </c>
      <c r="G115" s="3"/>
      <c r="H115" s="4" t="s">
        <v>17</v>
      </c>
      <c r="I115" s="4" t="s">
        <v>18</v>
      </c>
      <c r="J115" s="5">
        <f>IFERROR(VLOOKUP(K115,Docentes_Lista!$A$2:$C$212,2,FALSE),"")</f>
        <v>0</v>
      </c>
      <c r="K115" s="4"/>
      <c r="L115" s="2">
        <f>IFERROR(VLOOKUP(K115,Docentes_Lista!$A$2:$C$212,3,FALSE),"")</f>
        <v>0</v>
      </c>
    </row>
    <row r="116" spans="1:12" ht="30" customHeight="1">
      <c r="A116" s="2">
        <v>115</v>
      </c>
      <c r="B116" s="3" t="s">
        <v>12</v>
      </c>
      <c r="C116" s="3" t="s">
        <v>144</v>
      </c>
      <c r="D116" s="4" t="s">
        <v>145</v>
      </c>
      <c r="E116" s="3" t="s">
        <v>21</v>
      </c>
      <c r="F116" s="3" t="s">
        <v>16</v>
      </c>
      <c r="G116" s="3"/>
      <c r="H116" s="4" t="s">
        <v>17</v>
      </c>
      <c r="I116" s="4" t="s">
        <v>18</v>
      </c>
      <c r="J116" s="5">
        <f>IFERROR(VLOOKUP(K116,Docentes_Lista!$A$2:$C$212,2,FALSE),"")</f>
        <v>0</v>
      </c>
      <c r="K116" s="4"/>
      <c r="L116" s="2">
        <f>IFERROR(VLOOKUP(K116,Docentes_Lista!$A$2:$C$212,3,FALSE),"")</f>
        <v>0</v>
      </c>
    </row>
    <row r="117" spans="1:12" ht="30" customHeight="1">
      <c r="A117" s="2">
        <v>116</v>
      </c>
      <c r="B117" s="3" t="s">
        <v>12</v>
      </c>
      <c r="C117" s="3" t="s">
        <v>146</v>
      </c>
      <c r="D117" s="4" t="s">
        <v>147</v>
      </c>
      <c r="E117" s="3" t="s">
        <v>15</v>
      </c>
      <c r="F117" s="3" t="s">
        <v>39</v>
      </c>
      <c r="G117" s="3" t="s">
        <v>36</v>
      </c>
      <c r="H117" s="4" t="s">
        <v>66</v>
      </c>
      <c r="I117" s="4" t="s">
        <v>38</v>
      </c>
      <c r="J117" s="5">
        <f>IFERROR(VLOOKUP(K117,Docentes_Lista!$A$2:$C$212,2,FALSE),"")</f>
        <v>0</v>
      </c>
      <c r="K117" s="4"/>
      <c r="L117" s="2">
        <f>IFERROR(VLOOKUP(K117,Docentes_Lista!$A$2:$C$212,3,FALSE),"")</f>
        <v>0</v>
      </c>
    </row>
    <row r="118" spans="1:12" ht="30" customHeight="1">
      <c r="A118" s="2">
        <v>117</v>
      </c>
      <c r="B118" s="3" t="s">
        <v>148</v>
      </c>
      <c r="C118" s="3" t="s">
        <v>149</v>
      </c>
      <c r="D118" s="4" t="s">
        <v>150</v>
      </c>
      <c r="E118" s="3" t="s">
        <v>15</v>
      </c>
      <c r="F118" s="3" t="s">
        <v>16</v>
      </c>
      <c r="G118" s="3"/>
      <c r="H118" s="4" t="s">
        <v>17</v>
      </c>
      <c r="I118" s="4" t="s">
        <v>18</v>
      </c>
      <c r="J118" s="5">
        <f>IFERROR(VLOOKUP(K118,Docentes_Lista!$A$2:$C$212,2,FALSE),"")</f>
        <v>0</v>
      </c>
      <c r="K118" s="4"/>
      <c r="L118" s="2">
        <f>IFERROR(VLOOKUP(K118,Docentes_Lista!$A$2:$C$212,3,FALSE),"")</f>
        <v>0</v>
      </c>
    </row>
    <row r="119" spans="1:12" ht="30" customHeight="1">
      <c r="A119" s="2">
        <v>118</v>
      </c>
      <c r="B119" s="3" t="s">
        <v>148</v>
      </c>
      <c r="C119" s="3" t="s">
        <v>151</v>
      </c>
      <c r="D119" s="4" t="s">
        <v>152</v>
      </c>
      <c r="E119" s="3" t="s">
        <v>15</v>
      </c>
      <c r="F119" s="3" t="s">
        <v>16</v>
      </c>
      <c r="G119" s="3"/>
      <c r="H119" s="4" t="s">
        <v>17</v>
      </c>
      <c r="I119" s="4" t="s">
        <v>18</v>
      </c>
      <c r="J119" s="5">
        <f>IFERROR(VLOOKUP(K119,Docentes_Lista!$A$2:$C$212,2,FALSE),"")</f>
        <v>0</v>
      </c>
      <c r="K119" s="4"/>
      <c r="L119" s="2">
        <f>IFERROR(VLOOKUP(K119,Docentes_Lista!$A$2:$C$212,3,FALSE),"")</f>
        <v>0</v>
      </c>
    </row>
    <row r="120" spans="1:12" ht="30" customHeight="1">
      <c r="A120" s="2">
        <v>119</v>
      </c>
      <c r="B120" s="3" t="s">
        <v>153</v>
      </c>
      <c r="C120" s="3" t="s">
        <v>154</v>
      </c>
      <c r="D120" s="4" t="s">
        <v>155</v>
      </c>
      <c r="E120" s="3" t="s">
        <v>15</v>
      </c>
      <c r="F120" s="3" t="s">
        <v>156</v>
      </c>
      <c r="G120" s="3" t="s">
        <v>157</v>
      </c>
      <c r="H120" s="4" t="s">
        <v>78</v>
      </c>
      <c r="I120" s="4" t="s">
        <v>38</v>
      </c>
      <c r="J120" s="5">
        <f>IFERROR(VLOOKUP(K120,Docentes_Lista!$A$2:$C$212,2,FALSE),"")</f>
        <v>0</v>
      </c>
      <c r="K120" s="4"/>
      <c r="L120" s="2">
        <f>IFERROR(VLOOKUP(K120,Docentes_Lista!$A$2:$C$212,3,FALSE),"")</f>
        <v>0</v>
      </c>
    </row>
    <row r="121" spans="1:12" ht="30" customHeight="1">
      <c r="A121" s="2">
        <v>120</v>
      </c>
      <c r="B121" s="3" t="s">
        <v>148</v>
      </c>
      <c r="C121" s="3" t="s">
        <v>158</v>
      </c>
      <c r="D121" s="4" t="s">
        <v>159</v>
      </c>
      <c r="E121" s="3" t="s">
        <v>15</v>
      </c>
      <c r="F121" s="3" t="s">
        <v>16</v>
      </c>
      <c r="G121" s="3"/>
      <c r="H121" s="4" t="s">
        <v>17</v>
      </c>
      <c r="I121" s="4" t="s">
        <v>18</v>
      </c>
      <c r="J121" s="5">
        <f>IFERROR(VLOOKUP(K121,Docentes_Lista!$A$2:$C$212,2,FALSE),"")</f>
        <v>0</v>
      </c>
      <c r="K121" s="4"/>
      <c r="L121" s="2">
        <f>IFERROR(VLOOKUP(K121,Docentes_Lista!$A$2:$C$212,3,FALSE),"")</f>
        <v>0</v>
      </c>
    </row>
    <row r="122" spans="1:12" ht="30" customHeight="1">
      <c r="A122" s="2">
        <v>121</v>
      </c>
      <c r="B122" s="3" t="s">
        <v>148</v>
      </c>
      <c r="C122" s="3" t="s">
        <v>160</v>
      </c>
      <c r="D122" s="4" t="s">
        <v>161</v>
      </c>
      <c r="E122" s="3" t="s">
        <v>15</v>
      </c>
      <c r="F122" s="3" t="s">
        <v>39</v>
      </c>
      <c r="G122" s="3" t="s">
        <v>36</v>
      </c>
      <c r="H122" s="4" t="s">
        <v>78</v>
      </c>
      <c r="I122" s="4" t="s">
        <v>38</v>
      </c>
      <c r="J122" s="5">
        <f>IFERROR(VLOOKUP(K122,Docentes_Lista!$A$2:$C$212,2,FALSE),"")</f>
        <v>0</v>
      </c>
      <c r="K122" s="4"/>
      <c r="L122" s="2">
        <f>IFERROR(VLOOKUP(K122,Docentes_Lista!$A$2:$C$212,3,FALSE),"")</f>
        <v>0</v>
      </c>
    </row>
    <row r="123" spans="1:12" ht="30" customHeight="1">
      <c r="A123" s="2">
        <v>122</v>
      </c>
      <c r="B123" s="3" t="s">
        <v>148</v>
      </c>
      <c r="C123" s="3" t="s">
        <v>162</v>
      </c>
      <c r="D123" s="4" t="s">
        <v>163</v>
      </c>
      <c r="E123" s="3" t="s">
        <v>15</v>
      </c>
      <c r="F123" s="3" t="s">
        <v>16</v>
      </c>
      <c r="G123" s="3"/>
      <c r="H123" s="4" t="s">
        <v>17</v>
      </c>
      <c r="I123" s="4" t="s">
        <v>18</v>
      </c>
      <c r="J123" s="5">
        <f>IFERROR(VLOOKUP(K123,Docentes_Lista!$A$2:$C$212,2,FALSE),"")</f>
        <v>0</v>
      </c>
      <c r="K123" s="4"/>
      <c r="L123" s="2">
        <f>IFERROR(VLOOKUP(K123,Docentes_Lista!$A$2:$C$212,3,FALSE),"")</f>
        <v>0</v>
      </c>
    </row>
    <row r="124" spans="1:12" ht="30" customHeight="1">
      <c r="A124" s="2">
        <v>123</v>
      </c>
      <c r="B124" s="3" t="s">
        <v>148</v>
      </c>
      <c r="C124" s="3" t="s">
        <v>164</v>
      </c>
      <c r="D124" s="4" t="s">
        <v>165</v>
      </c>
      <c r="E124" s="3" t="s">
        <v>15</v>
      </c>
      <c r="F124" s="3" t="s">
        <v>35</v>
      </c>
      <c r="G124" s="3" t="s">
        <v>36</v>
      </c>
      <c r="H124" s="4" t="s">
        <v>37</v>
      </c>
      <c r="I124" s="4" t="s">
        <v>106</v>
      </c>
      <c r="J124" s="5">
        <f>IFERROR(VLOOKUP(K124,Docentes_Lista!$A$2:$C$212,2,FALSE),"")</f>
        <v>0</v>
      </c>
      <c r="K124" s="4"/>
      <c r="L124" s="2">
        <f>IFERROR(VLOOKUP(K124,Docentes_Lista!$A$2:$C$212,3,FALSE),"")</f>
        <v>0</v>
      </c>
    </row>
    <row r="125" spans="1:12" ht="30" customHeight="1">
      <c r="A125" s="2">
        <v>124</v>
      </c>
      <c r="B125" s="3" t="s">
        <v>148</v>
      </c>
      <c r="C125" s="3" t="s">
        <v>166</v>
      </c>
      <c r="D125" s="4" t="s">
        <v>167</v>
      </c>
      <c r="E125" s="3" t="s">
        <v>15</v>
      </c>
      <c r="F125" s="3" t="s">
        <v>16</v>
      </c>
      <c r="G125" s="3"/>
      <c r="H125" s="4" t="s">
        <v>17</v>
      </c>
      <c r="I125" s="4" t="s">
        <v>18</v>
      </c>
      <c r="J125" s="5">
        <f>IFERROR(VLOOKUP(K125,Docentes_Lista!$A$2:$C$212,2,FALSE),"")</f>
        <v>0</v>
      </c>
      <c r="K125" s="4"/>
      <c r="L125" s="2">
        <f>IFERROR(VLOOKUP(K125,Docentes_Lista!$A$2:$C$212,3,FALSE),"")</f>
        <v>0</v>
      </c>
    </row>
    <row r="126" spans="1:12" ht="30" customHeight="1">
      <c r="A126" s="2">
        <v>125</v>
      </c>
      <c r="B126" s="3" t="s">
        <v>153</v>
      </c>
      <c r="C126" s="3" t="s">
        <v>168</v>
      </c>
      <c r="D126" s="4" t="s">
        <v>169</v>
      </c>
      <c r="E126" s="3" t="s">
        <v>15</v>
      </c>
      <c r="F126" s="3" t="s">
        <v>108</v>
      </c>
      <c r="G126" s="3" t="s">
        <v>36</v>
      </c>
      <c r="H126" s="4" t="s">
        <v>78</v>
      </c>
      <c r="I126" s="4" t="s">
        <v>106</v>
      </c>
      <c r="J126" s="5">
        <f>IFERROR(VLOOKUP(K126,Docentes_Lista!$A$2:$C$212,2,FALSE),"")</f>
        <v>0</v>
      </c>
      <c r="K126" s="4"/>
      <c r="L126" s="2">
        <f>IFERROR(VLOOKUP(K126,Docentes_Lista!$A$2:$C$212,3,FALSE),"")</f>
        <v>0</v>
      </c>
    </row>
    <row r="127" spans="1:12" ht="30" customHeight="1">
      <c r="A127" s="2">
        <v>126</v>
      </c>
      <c r="B127" s="3" t="s">
        <v>148</v>
      </c>
      <c r="C127" s="3" t="s">
        <v>170</v>
      </c>
      <c r="D127" s="4" t="s">
        <v>171</v>
      </c>
      <c r="E127" s="3" t="s">
        <v>15</v>
      </c>
      <c r="F127" s="3" t="s">
        <v>16</v>
      </c>
      <c r="G127" s="3"/>
      <c r="H127" s="4" t="s">
        <v>17</v>
      </c>
      <c r="I127" s="4" t="s">
        <v>18</v>
      </c>
      <c r="J127" s="5">
        <f>IFERROR(VLOOKUP(K127,Docentes_Lista!$A$2:$C$212,2,FALSE),"")</f>
        <v>0</v>
      </c>
      <c r="K127" s="4"/>
      <c r="L127" s="2">
        <f>IFERROR(VLOOKUP(K127,Docentes_Lista!$A$2:$C$212,3,FALSE),"")</f>
        <v>0</v>
      </c>
    </row>
    <row r="128" spans="1:12" ht="30" customHeight="1">
      <c r="A128" s="2">
        <v>127</v>
      </c>
      <c r="B128" s="3" t="s">
        <v>148</v>
      </c>
      <c r="C128" s="3" t="s">
        <v>172</v>
      </c>
      <c r="D128" s="4" t="s">
        <v>173</v>
      </c>
      <c r="E128" s="3" t="s">
        <v>15</v>
      </c>
      <c r="F128" s="3" t="s">
        <v>39</v>
      </c>
      <c r="G128" s="3" t="s">
        <v>36</v>
      </c>
      <c r="H128" s="4" t="s">
        <v>78</v>
      </c>
      <c r="I128" s="4" t="s">
        <v>38</v>
      </c>
      <c r="J128" s="5">
        <f>IFERROR(VLOOKUP(K128,Docentes_Lista!$A$2:$C$212,2,FALSE),"")</f>
        <v>0</v>
      </c>
      <c r="K128" s="4"/>
      <c r="L128" s="2">
        <f>IFERROR(VLOOKUP(K128,Docentes_Lista!$A$2:$C$212,3,FALSE),"")</f>
        <v>0</v>
      </c>
    </row>
    <row r="129" spans="1:12" ht="30" customHeight="1">
      <c r="A129" s="2">
        <v>128</v>
      </c>
      <c r="B129" s="3" t="s">
        <v>148</v>
      </c>
      <c r="C129" s="3" t="s">
        <v>174</v>
      </c>
      <c r="D129" s="4" t="s">
        <v>175</v>
      </c>
      <c r="E129" s="3" t="s">
        <v>15</v>
      </c>
      <c r="F129" s="3" t="s">
        <v>16</v>
      </c>
      <c r="G129" s="3"/>
      <c r="H129" s="4" t="s">
        <v>17</v>
      </c>
      <c r="I129" s="4" t="s">
        <v>18</v>
      </c>
      <c r="J129" s="5">
        <f>IFERROR(VLOOKUP(K129,Docentes_Lista!$A$2:$C$212,2,FALSE),"")</f>
        <v>0</v>
      </c>
      <c r="K129" s="4"/>
      <c r="L129" s="2">
        <f>IFERROR(VLOOKUP(K129,Docentes_Lista!$A$2:$C$212,3,FALSE),"")</f>
        <v>0</v>
      </c>
    </row>
    <row r="130" spans="1:12" ht="30" customHeight="1">
      <c r="A130" s="2">
        <v>129</v>
      </c>
      <c r="B130" s="3" t="s">
        <v>153</v>
      </c>
      <c r="C130" s="3" t="s">
        <v>176</v>
      </c>
      <c r="D130" s="4" t="s">
        <v>177</v>
      </c>
      <c r="E130" s="3" t="s">
        <v>15</v>
      </c>
      <c r="F130" s="3" t="s">
        <v>16</v>
      </c>
      <c r="G130" s="3"/>
      <c r="H130" s="4" t="s">
        <v>17</v>
      </c>
      <c r="I130" s="4" t="s">
        <v>18</v>
      </c>
      <c r="J130" s="5">
        <f>IFERROR(VLOOKUP(K130,Docentes_Lista!$A$2:$C$212,2,FALSE),"")</f>
        <v>0</v>
      </c>
      <c r="K130" s="4"/>
      <c r="L130" s="2">
        <f>IFERROR(VLOOKUP(K130,Docentes_Lista!$A$2:$C$212,3,FALSE),"")</f>
        <v>0</v>
      </c>
    </row>
    <row r="131" spans="1:12" ht="30" customHeight="1">
      <c r="A131" s="2">
        <v>130</v>
      </c>
      <c r="B131" s="3" t="s">
        <v>153</v>
      </c>
      <c r="C131" s="3" t="s">
        <v>176</v>
      </c>
      <c r="D131" s="4" t="s">
        <v>177</v>
      </c>
      <c r="E131" s="3" t="s">
        <v>21</v>
      </c>
      <c r="F131" s="3" t="s">
        <v>16</v>
      </c>
      <c r="G131" s="3"/>
      <c r="H131" s="4" t="s">
        <v>17</v>
      </c>
      <c r="I131" s="4" t="s">
        <v>18</v>
      </c>
      <c r="J131" s="5">
        <f>IFERROR(VLOOKUP(K131,Docentes_Lista!$A$2:$C$212,2,FALSE),"")</f>
        <v>0</v>
      </c>
      <c r="K131" s="4"/>
      <c r="L131" s="2">
        <f>IFERROR(VLOOKUP(K131,Docentes_Lista!$A$2:$C$212,3,FALSE),"")</f>
        <v>0</v>
      </c>
    </row>
    <row r="132" spans="1:12" ht="30" customHeight="1">
      <c r="A132" s="2">
        <v>131</v>
      </c>
      <c r="B132" s="3" t="s">
        <v>148</v>
      </c>
      <c r="C132" s="3" t="s">
        <v>178</v>
      </c>
      <c r="D132" s="4" t="s">
        <v>179</v>
      </c>
      <c r="E132" s="3" t="s">
        <v>15</v>
      </c>
      <c r="F132" s="3" t="s">
        <v>16</v>
      </c>
      <c r="G132" s="3"/>
      <c r="H132" s="4" t="s">
        <v>17</v>
      </c>
      <c r="I132" s="4" t="s">
        <v>18</v>
      </c>
      <c r="J132" s="5">
        <f>IFERROR(VLOOKUP(K132,Docentes_Lista!$A$2:$C$212,2,FALSE),"")</f>
        <v>0</v>
      </c>
      <c r="K132" s="4"/>
      <c r="L132" s="2">
        <f>IFERROR(VLOOKUP(K132,Docentes_Lista!$A$2:$C$212,3,FALSE),"")</f>
        <v>0</v>
      </c>
    </row>
    <row r="133" spans="1:12" ht="30" customHeight="1">
      <c r="A133" s="2">
        <v>132</v>
      </c>
      <c r="B133" s="3" t="s">
        <v>153</v>
      </c>
      <c r="C133" s="3" t="s">
        <v>180</v>
      </c>
      <c r="D133" s="4" t="s">
        <v>181</v>
      </c>
      <c r="E133" s="3" t="s">
        <v>15</v>
      </c>
      <c r="F133" s="3" t="s">
        <v>35</v>
      </c>
      <c r="G133" s="3" t="s">
        <v>36</v>
      </c>
      <c r="H133" s="4" t="s">
        <v>37</v>
      </c>
      <c r="I133" s="4" t="s">
        <v>110</v>
      </c>
      <c r="J133" s="5">
        <f>IFERROR(VLOOKUP(K133,Docentes_Lista!$A$2:$C$212,2,FALSE),"")</f>
        <v>0</v>
      </c>
      <c r="K133" s="4"/>
      <c r="L133" s="2">
        <f>IFERROR(VLOOKUP(K133,Docentes_Lista!$A$2:$C$212,3,FALSE),"")</f>
        <v>0</v>
      </c>
    </row>
    <row r="134" spans="1:12" ht="30" customHeight="1">
      <c r="A134" s="2">
        <v>133</v>
      </c>
      <c r="B134" s="3" t="s">
        <v>153</v>
      </c>
      <c r="C134" s="3" t="s">
        <v>180</v>
      </c>
      <c r="D134" s="4" t="s">
        <v>181</v>
      </c>
      <c r="E134" s="3" t="s">
        <v>50</v>
      </c>
      <c r="F134" s="3" t="s">
        <v>108</v>
      </c>
      <c r="G134" s="3" t="s">
        <v>36</v>
      </c>
      <c r="H134" s="4" t="s">
        <v>78</v>
      </c>
      <c r="I134" s="4" t="s">
        <v>106</v>
      </c>
      <c r="J134" s="5">
        <f>IFERROR(VLOOKUP(K134,Docentes_Lista!$A$2:$C$212,2,FALSE),"")</f>
        <v>0</v>
      </c>
      <c r="K134" s="4"/>
      <c r="L134" s="2">
        <f>IFERROR(VLOOKUP(K134,Docentes_Lista!$A$2:$C$212,3,FALSE),"")</f>
        <v>0</v>
      </c>
    </row>
    <row r="135" spans="1:12" ht="30" customHeight="1">
      <c r="A135" s="2">
        <v>134</v>
      </c>
      <c r="B135" s="3" t="s">
        <v>153</v>
      </c>
      <c r="C135" s="3" t="s">
        <v>180</v>
      </c>
      <c r="D135" s="4" t="s">
        <v>181</v>
      </c>
      <c r="E135" s="3" t="s">
        <v>21</v>
      </c>
      <c r="F135" s="3" t="s">
        <v>35</v>
      </c>
      <c r="G135" s="3" t="s">
        <v>36</v>
      </c>
      <c r="H135" s="4" t="s">
        <v>40</v>
      </c>
      <c r="I135" s="4" t="s">
        <v>106</v>
      </c>
      <c r="J135" s="5">
        <f>IFERROR(VLOOKUP(K135,Docentes_Lista!$A$2:$C$212,2,FALSE),"")</f>
        <v>0</v>
      </c>
      <c r="K135" s="4"/>
      <c r="L135" s="2">
        <f>IFERROR(VLOOKUP(K135,Docentes_Lista!$A$2:$C$212,3,FALSE),"")</f>
        <v>0</v>
      </c>
    </row>
    <row r="136" spans="1:12" ht="30" customHeight="1">
      <c r="A136" s="2">
        <v>135</v>
      </c>
      <c r="B136" s="3" t="s">
        <v>153</v>
      </c>
      <c r="C136" s="3" t="s">
        <v>180</v>
      </c>
      <c r="D136" s="4" t="s">
        <v>181</v>
      </c>
      <c r="E136" s="3" t="s">
        <v>53</v>
      </c>
      <c r="F136" s="3" t="s">
        <v>39</v>
      </c>
      <c r="G136" s="3" t="s">
        <v>36</v>
      </c>
      <c r="H136" s="4" t="s">
        <v>40</v>
      </c>
      <c r="I136" s="4" t="s">
        <v>106</v>
      </c>
      <c r="J136" s="5">
        <f>IFERROR(VLOOKUP(K136,Docentes_Lista!$A$2:$C$212,2,FALSE),"")</f>
        <v>0</v>
      </c>
      <c r="K136" s="4"/>
      <c r="L136" s="2">
        <f>IFERROR(VLOOKUP(K136,Docentes_Lista!$A$2:$C$212,3,FALSE),"")</f>
        <v>0</v>
      </c>
    </row>
    <row r="137" spans="1:12" ht="30" customHeight="1">
      <c r="A137" s="2">
        <v>136</v>
      </c>
      <c r="B137" s="3" t="s">
        <v>153</v>
      </c>
      <c r="C137" s="3" t="s">
        <v>180</v>
      </c>
      <c r="D137" s="4" t="s">
        <v>181</v>
      </c>
      <c r="E137" s="3" t="s">
        <v>41</v>
      </c>
      <c r="F137" s="3" t="s">
        <v>105</v>
      </c>
      <c r="G137" s="3" t="s">
        <v>36</v>
      </c>
      <c r="H137" s="4" t="s">
        <v>49</v>
      </c>
      <c r="I137" s="4" t="s">
        <v>106</v>
      </c>
      <c r="J137" s="5">
        <f>IFERROR(VLOOKUP(K137,Docentes_Lista!$A$2:$C$212,2,FALSE),"")</f>
        <v>0</v>
      </c>
      <c r="K137" s="4"/>
      <c r="L137" s="2">
        <f>IFERROR(VLOOKUP(K137,Docentes_Lista!$A$2:$C$212,3,FALSE),"")</f>
        <v>0</v>
      </c>
    </row>
    <row r="138" spans="1:12" ht="30" customHeight="1">
      <c r="A138" s="2">
        <v>137</v>
      </c>
      <c r="B138" s="3" t="s">
        <v>153</v>
      </c>
      <c r="C138" s="3" t="s">
        <v>180</v>
      </c>
      <c r="D138" s="4" t="s">
        <v>181</v>
      </c>
      <c r="E138" s="3" t="s">
        <v>109</v>
      </c>
      <c r="F138" s="3" t="s">
        <v>42</v>
      </c>
      <c r="G138" s="3" t="s">
        <v>43</v>
      </c>
      <c r="H138" s="4" t="s">
        <v>44</v>
      </c>
      <c r="I138" s="4" t="s">
        <v>106</v>
      </c>
      <c r="J138" s="5">
        <f>IFERROR(VLOOKUP(K138,Docentes_Lista!$A$2:$C$212,2,FALSE),"")</f>
        <v>0</v>
      </c>
      <c r="K138" s="4"/>
      <c r="L138" s="2">
        <f>IFERROR(VLOOKUP(K138,Docentes_Lista!$A$2:$C$212,3,FALSE),"")</f>
        <v>0</v>
      </c>
    </row>
    <row r="139" spans="1:12" ht="30" customHeight="1">
      <c r="A139" s="2">
        <v>138</v>
      </c>
      <c r="B139" s="3" t="s">
        <v>153</v>
      </c>
      <c r="C139" s="3" t="s">
        <v>182</v>
      </c>
      <c r="D139" s="4" t="s">
        <v>183</v>
      </c>
      <c r="E139" s="3" t="s">
        <v>21</v>
      </c>
      <c r="F139" s="3" t="s">
        <v>16</v>
      </c>
      <c r="G139" s="3"/>
      <c r="H139" s="4" t="s">
        <v>17</v>
      </c>
      <c r="I139" s="4" t="s">
        <v>18</v>
      </c>
      <c r="J139" s="5">
        <f>IFERROR(VLOOKUP(K139,Docentes_Lista!$A$2:$C$212,2,FALSE),"")</f>
        <v>0</v>
      </c>
      <c r="K139" s="4"/>
      <c r="L139" s="2">
        <f>IFERROR(VLOOKUP(K139,Docentes_Lista!$A$2:$C$212,3,FALSE),"")</f>
        <v>0</v>
      </c>
    </row>
    <row r="140" spans="1:12" ht="30" customHeight="1">
      <c r="A140" s="2">
        <v>139</v>
      </c>
      <c r="B140" s="3" t="s">
        <v>148</v>
      </c>
      <c r="C140" s="3" t="s">
        <v>184</v>
      </c>
      <c r="D140" s="4" t="s">
        <v>185</v>
      </c>
      <c r="E140" s="3" t="s">
        <v>15</v>
      </c>
      <c r="F140" s="3" t="s">
        <v>39</v>
      </c>
      <c r="G140" s="3" t="s">
        <v>36</v>
      </c>
      <c r="H140" s="4" t="s">
        <v>78</v>
      </c>
      <c r="I140" s="4" t="s">
        <v>38</v>
      </c>
      <c r="J140" s="5">
        <f>IFERROR(VLOOKUP(K140,Docentes_Lista!$A$2:$C$212,2,FALSE),"")</f>
        <v>0</v>
      </c>
      <c r="K140" s="4"/>
      <c r="L140" s="2">
        <f>IFERROR(VLOOKUP(K140,Docentes_Lista!$A$2:$C$212,3,FALSE),"")</f>
        <v>0</v>
      </c>
    </row>
    <row r="141" spans="1:12" ht="30" customHeight="1">
      <c r="A141" s="2">
        <v>140</v>
      </c>
      <c r="B141" s="3" t="s">
        <v>148</v>
      </c>
      <c r="C141" s="3" t="s">
        <v>186</v>
      </c>
      <c r="D141" s="4" t="s">
        <v>187</v>
      </c>
      <c r="E141" s="3" t="s">
        <v>15</v>
      </c>
      <c r="F141" s="3" t="s">
        <v>16</v>
      </c>
      <c r="G141" s="3"/>
      <c r="H141" s="4" t="s">
        <v>17</v>
      </c>
      <c r="I141" s="4" t="s">
        <v>18</v>
      </c>
      <c r="J141" s="5">
        <f>IFERROR(VLOOKUP(K141,Docentes_Lista!$A$2:$C$212,2,FALSE),"")</f>
        <v>0</v>
      </c>
      <c r="K141" s="4"/>
      <c r="L141" s="2">
        <f>IFERROR(VLOOKUP(K141,Docentes_Lista!$A$2:$C$212,3,FALSE),"")</f>
        <v>0</v>
      </c>
    </row>
    <row r="142" spans="1:12" ht="30" customHeight="1">
      <c r="A142" s="2">
        <v>141</v>
      </c>
      <c r="B142" s="3" t="s">
        <v>148</v>
      </c>
      <c r="C142" s="3" t="s">
        <v>188</v>
      </c>
      <c r="D142" s="4" t="s">
        <v>189</v>
      </c>
      <c r="E142" s="3" t="s">
        <v>15</v>
      </c>
      <c r="F142" s="3" t="s">
        <v>16</v>
      </c>
      <c r="G142" s="3"/>
      <c r="H142" s="4" t="s">
        <v>17</v>
      </c>
      <c r="I142" s="4" t="s">
        <v>18</v>
      </c>
      <c r="J142" s="5">
        <f>IFERROR(VLOOKUP(K142,Docentes_Lista!$A$2:$C$212,2,FALSE),"")</f>
        <v>0</v>
      </c>
      <c r="K142" s="4"/>
      <c r="L142" s="2">
        <f>IFERROR(VLOOKUP(K142,Docentes_Lista!$A$2:$C$212,3,FALSE),"")</f>
        <v>0</v>
      </c>
    </row>
    <row r="143" spans="1:12" ht="30" customHeight="1">
      <c r="A143" s="2">
        <v>142</v>
      </c>
      <c r="B143" s="3" t="s">
        <v>148</v>
      </c>
      <c r="C143" s="3" t="s">
        <v>190</v>
      </c>
      <c r="D143" s="4" t="s">
        <v>191</v>
      </c>
      <c r="E143" s="3" t="s">
        <v>15</v>
      </c>
      <c r="F143" s="3" t="s">
        <v>16</v>
      </c>
      <c r="G143" s="3"/>
      <c r="H143" s="4" t="s">
        <v>17</v>
      </c>
      <c r="I143" s="4" t="s">
        <v>18</v>
      </c>
      <c r="J143" s="5">
        <f>IFERROR(VLOOKUP(K143,Docentes_Lista!$A$2:$C$212,2,FALSE),"")</f>
        <v>0</v>
      </c>
      <c r="K143" s="4"/>
      <c r="L143" s="2">
        <f>IFERROR(VLOOKUP(K143,Docentes_Lista!$A$2:$C$212,3,FALSE),"")</f>
        <v>0</v>
      </c>
    </row>
    <row r="144" spans="1:12" ht="30" customHeight="1">
      <c r="A144" s="2">
        <v>143</v>
      </c>
      <c r="B144" s="3" t="s">
        <v>148</v>
      </c>
      <c r="C144" s="3" t="s">
        <v>192</v>
      </c>
      <c r="D144" s="4" t="s">
        <v>193</v>
      </c>
      <c r="E144" s="3" t="s">
        <v>15</v>
      </c>
      <c r="F144" s="3" t="s">
        <v>16</v>
      </c>
      <c r="G144" s="3"/>
      <c r="H144" s="4" t="s">
        <v>17</v>
      </c>
      <c r="I144" s="4" t="s">
        <v>18</v>
      </c>
      <c r="J144" s="5">
        <f>IFERROR(VLOOKUP(K144,Docentes_Lista!$A$2:$C$212,2,FALSE),"")</f>
        <v>0</v>
      </c>
      <c r="K144" s="4"/>
      <c r="L144" s="2">
        <f>IFERROR(VLOOKUP(K144,Docentes_Lista!$A$2:$C$212,3,FALSE),"")</f>
        <v>0</v>
      </c>
    </row>
    <row r="145" spans="1:12" ht="30" customHeight="1">
      <c r="A145" s="2">
        <v>144</v>
      </c>
      <c r="B145" s="3" t="s">
        <v>148</v>
      </c>
      <c r="C145" s="3" t="s">
        <v>194</v>
      </c>
      <c r="D145" s="4" t="s">
        <v>195</v>
      </c>
      <c r="E145" s="3" t="s">
        <v>15</v>
      </c>
      <c r="F145" s="3" t="s">
        <v>108</v>
      </c>
      <c r="G145" s="3" t="s">
        <v>36</v>
      </c>
      <c r="H145" s="4" t="s">
        <v>78</v>
      </c>
      <c r="I145" s="4" t="s">
        <v>38</v>
      </c>
      <c r="J145" s="5">
        <f>IFERROR(VLOOKUP(K145,Docentes_Lista!$A$2:$C$212,2,FALSE),"")</f>
        <v>0</v>
      </c>
      <c r="K145" s="4"/>
      <c r="L145" s="2">
        <f>IFERROR(VLOOKUP(K145,Docentes_Lista!$A$2:$C$212,3,FALSE),"")</f>
        <v>0</v>
      </c>
    </row>
    <row r="146" spans="1:12" ht="30" customHeight="1">
      <c r="A146" s="2">
        <v>145</v>
      </c>
      <c r="B146" s="3" t="s">
        <v>148</v>
      </c>
      <c r="C146" s="3" t="s">
        <v>196</v>
      </c>
      <c r="D146" s="4" t="s">
        <v>197</v>
      </c>
      <c r="E146" s="3" t="s">
        <v>15</v>
      </c>
      <c r="F146" s="3" t="s">
        <v>16</v>
      </c>
      <c r="G146" s="3"/>
      <c r="H146" s="4" t="s">
        <v>17</v>
      </c>
      <c r="I146" s="4" t="s">
        <v>18</v>
      </c>
      <c r="J146" s="5">
        <f>IFERROR(VLOOKUP(K146,Docentes_Lista!$A$2:$C$212,2,FALSE),"")</f>
        <v>0</v>
      </c>
      <c r="K146" s="4"/>
      <c r="L146" s="2">
        <f>IFERROR(VLOOKUP(K146,Docentes_Lista!$A$2:$C$212,3,FALSE),"")</f>
        <v>0</v>
      </c>
    </row>
    <row r="147" spans="1:12" ht="30" customHeight="1">
      <c r="A147" s="2">
        <v>146</v>
      </c>
      <c r="B147" s="3" t="s">
        <v>148</v>
      </c>
      <c r="C147" s="3" t="s">
        <v>198</v>
      </c>
      <c r="D147" s="4" t="s">
        <v>199</v>
      </c>
      <c r="E147" s="3" t="s">
        <v>15</v>
      </c>
      <c r="F147" s="3" t="s">
        <v>16</v>
      </c>
      <c r="G147" s="3"/>
      <c r="H147" s="4" t="s">
        <v>17</v>
      </c>
      <c r="I147" s="4" t="s">
        <v>18</v>
      </c>
      <c r="J147" s="5">
        <f>IFERROR(VLOOKUP(K147,Docentes_Lista!$A$2:$C$212,2,FALSE),"")</f>
        <v>0</v>
      </c>
      <c r="K147" s="4"/>
      <c r="L147" s="2">
        <f>IFERROR(VLOOKUP(K147,Docentes_Lista!$A$2:$C$212,3,FALSE),"")</f>
        <v>0</v>
      </c>
    </row>
    <row r="148" spans="1:12" ht="30" customHeight="1">
      <c r="A148" s="2">
        <v>147</v>
      </c>
      <c r="B148" s="3" t="s">
        <v>148</v>
      </c>
      <c r="C148" s="3" t="s">
        <v>200</v>
      </c>
      <c r="D148" s="4" t="s">
        <v>201</v>
      </c>
      <c r="E148" s="3" t="s">
        <v>15</v>
      </c>
      <c r="F148" s="3" t="s">
        <v>16</v>
      </c>
      <c r="G148" s="3"/>
      <c r="H148" s="4" t="s">
        <v>17</v>
      </c>
      <c r="I148" s="4" t="s">
        <v>18</v>
      </c>
      <c r="J148" s="5">
        <f>IFERROR(VLOOKUP(K148,Docentes_Lista!$A$2:$C$212,2,FALSE),"")</f>
        <v>0</v>
      </c>
      <c r="K148" s="4"/>
      <c r="L148" s="2">
        <f>IFERROR(VLOOKUP(K148,Docentes_Lista!$A$2:$C$212,3,FALSE),"")</f>
        <v>0</v>
      </c>
    </row>
    <row r="149" spans="1:12" ht="30" customHeight="1">
      <c r="A149" s="2">
        <v>148</v>
      </c>
      <c r="B149" s="3" t="s">
        <v>148</v>
      </c>
      <c r="C149" s="3" t="s">
        <v>202</v>
      </c>
      <c r="D149" s="4" t="s">
        <v>203</v>
      </c>
      <c r="E149" s="3" t="s">
        <v>15</v>
      </c>
      <c r="F149" s="3" t="s">
        <v>16</v>
      </c>
      <c r="G149" s="3"/>
      <c r="H149" s="4" t="s">
        <v>17</v>
      </c>
      <c r="I149" s="4" t="s">
        <v>18</v>
      </c>
      <c r="J149" s="5">
        <f>IFERROR(VLOOKUP(K149,Docentes_Lista!$A$2:$C$212,2,FALSE),"")</f>
        <v>0</v>
      </c>
      <c r="K149" s="4"/>
      <c r="L149" s="2">
        <f>IFERROR(VLOOKUP(K149,Docentes_Lista!$A$2:$C$212,3,FALSE),"")</f>
        <v>0</v>
      </c>
    </row>
    <row r="150" spans="1:12" ht="30" customHeight="1">
      <c r="A150" s="2">
        <v>149</v>
      </c>
      <c r="B150" s="3" t="s">
        <v>148</v>
      </c>
      <c r="C150" s="3" t="s">
        <v>204</v>
      </c>
      <c r="D150" s="4" t="s">
        <v>205</v>
      </c>
      <c r="E150" s="3" t="s">
        <v>15</v>
      </c>
      <c r="F150" s="3" t="s">
        <v>16</v>
      </c>
      <c r="G150" s="3"/>
      <c r="H150" s="4" t="s">
        <v>17</v>
      </c>
      <c r="I150" s="4" t="s">
        <v>18</v>
      </c>
      <c r="J150" s="5">
        <f>IFERROR(VLOOKUP(K150,Docentes_Lista!$A$2:$C$212,2,FALSE),"")</f>
        <v>0</v>
      </c>
      <c r="K150" s="4"/>
      <c r="L150" s="2">
        <f>IFERROR(VLOOKUP(K150,Docentes_Lista!$A$2:$C$212,3,FALSE),"")</f>
        <v>0</v>
      </c>
    </row>
    <row r="151" spans="1:12" ht="30" customHeight="1">
      <c r="A151" s="2">
        <v>150</v>
      </c>
      <c r="B151" s="3" t="s">
        <v>148</v>
      </c>
      <c r="C151" s="3" t="s">
        <v>206</v>
      </c>
      <c r="D151" s="4" t="s">
        <v>207</v>
      </c>
      <c r="E151" s="3" t="s">
        <v>15</v>
      </c>
      <c r="F151" s="3" t="s">
        <v>16</v>
      </c>
      <c r="G151" s="3"/>
      <c r="H151" s="4" t="s">
        <v>17</v>
      </c>
      <c r="I151" s="4" t="s">
        <v>18</v>
      </c>
      <c r="J151" s="5">
        <f>IFERROR(VLOOKUP(K151,Docentes_Lista!$A$2:$C$212,2,FALSE),"")</f>
        <v>0</v>
      </c>
      <c r="K151" s="4"/>
      <c r="L151" s="2">
        <f>IFERROR(VLOOKUP(K151,Docentes_Lista!$A$2:$C$212,3,FALSE),"")</f>
        <v>0</v>
      </c>
    </row>
    <row r="152" spans="1:12" ht="30" customHeight="1">
      <c r="A152" s="2">
        <v>151</v>
      </c>
      <c r="B152" s="3" t="s">
        <v>148</v>
      </c>
      <c r="C152" s="3" t="s">
        <v>208</v>
      </c>
      <c r="D152" s="4" t="s">
        <v>209</v>
      </c>
      <c r="E152" s="3" t="s">
        <v>15</v>
      </c>
      <c r="F152" s="3" t="s">
        <v>16</v>
      </c>
      <c r="G152" s="3"/>
      <c r="H152" s="4" t="s">
        <v>17</v>
      </c>
      <c r="I152" s="4" t="s">
        <v>18</v>
      </c>
      <c r="J152" s="5">
        <f>IFERROR(VLOOKUP(K152,Docentes_Lista!$A$2:$C$212,2,FALSE),"")</f>
        <v>0</v>
      </c>
      <c r="K152" s="4"/>
      <c r="L152" s="2">
        <f>IFERROR(VLOOKUP(K152,Docentes_Lista!$A$2:$C$212,3,FALSE),"")</f>
        <v>0</v>
      </c>
    </row>
    <row r="153" spans="1:12" ht="30" customHeight="1">
      <c r="A153" s="2">
        <v>152</v>
      </c>
      <c r="B153" s="3" t="s">
        <v>148</v>
      </c>
      <c r="C153" s="3" t="s">
        <v>210</v>
      </c>
      <c r="D153" s="4" t="s">
        <v>211</v>
      </c>
      <c r="E153" s="3" t="s">
        <v>15</v>
      </c>
      <c r="F153" s="3" t="s">
        <v>108</v>
      </c>
      <c r="G153" s="3" t="s">
        <v>36</v>
      </c>
      <c r="H153" s="4" t="s">
        <v>78</v>
      </c>
      <c r="I153" s="4" t="s">
        <v>106</v>
      </c>
      <c r="J153" s="5">
        <f>IFERROR(VLOOKUP(K153,Docentes_Lista!$A$2:$C$212,2,FALSE),"")</f>
        <v>0</v>
      </c>
      <c r="K153" s="4"/>
      <c r="L153" s="2">
        <f>IFERROR(VLOOKUP(K153,Docentes_Lista!$A$2:$C$212,3,FALSE),"")</f>
        <v>0</v>
      </c>
    </row>
    <row r="154" spans="1:12" ht="30" customHeight="1">
      <c r="A154" s="2">
        <v>153</v>
      </c>
      <c r="B154" s="3" t="s">
        <v>148</v>
      </c>
      <c r="C154" s="3" t="s">
        <v>210</v>
      </c>
      <c r="D154" s="4" t="s">
        <v>211</v>
      </c>
      <c r="E154" s="3" t="s">
        <v>21</v>
      </c>
      <c r="F154" s="3" t="s">
        <v>119</v>
      </c>
      <c r="G154" s="3" t="s">
        <v>43</v>
      </c>
      <c r="H154" s="4" t="s">
        <v>85</v>
      </c>
      <c r="I154" s="4" t="s">
        <v>106</v>
      </c>
      <c r="J154" s="5">
        <f>IFERROR(VLOOKUP(K154,Docentes_Lista!$A$2:$C$212,2,FALSE),"")</f>
        <v>0</v>
      </c>
      <c r="K154" s="4"/>
      <c r="L154" s="2">
        <f>IFERROR(VLOOKUP(K154,Docentes_Lista!$A$2:$C$212,3,FALSE),"")</f>
        <v>0</v>
      </c>
    </row>
    <row r="155" spans="1:12" ht="30" customHeight="1">
      <c r="A155" s="2">
        <v>154</v>
      </c>
      <c r="B155" s="3" t="s">
        <v>153</v>
      </c>
      <c r="C155" s="3" t="s">
        <v>212</v>
      </c>
      <c r="D155" s="4" t="s">
        <v>213</v>
      </c>
      <c r="E155" s="3" t="s">
        <v>21</v>
      </c>
      <c r="F155" s="3" t="s">
        <v>105</v>
      </c>
      <c r="G155" s="3" t="s">
        <v>36</v>
      </c>
      <c r="H155" s="4" t="s">
        <v>37</v>
      </c>
      <c r="I155" s="4" t="s">
        <v>38</v>
      </c>
      <c r="J155" s="5">
        <f>IFERROR(VLOOKUP(K155,Docentes_Lista!$A$2:$C$212,2,FALSE),"")</f>
        <v>0</v>
      </c>
      <c r="K155" s="4"/>
      <c r="L155" s="2">
        <f>IFERROR(VLOOKUP(K155,Docentes_Lista!$A$2:$C$212,3,FALSE),"")</f>
        <v>0</v>
      </c>
    </row>
    <row r="156" spans="1:12" ht="30" customHeight="1">
      <c r="A156" s="2">
        <v>155</v>
      </c>
      <c r="B156" s="3" t="s">
        <v>153</v>
      </c>
      <c r="C156" s="3" t="s">
        <v>212</v>
      </c>
      <c r="D156" s="4" t="s">
        <v>213</v>
      </c>
      <c r="E156" s="3" t="s">
        <v>15</v>
      </c>
      <c r="F156" s="3" t="s">
        <v>35</v>
      </c>
      <c r="G156" s="3" t="s">
        <v>36</v>
      </c>
      <c r="H156" s="4" t="s">
        <v>49</v>
      </c>
      <c r="I156" s="4" t="s">
        <v>38</v>
      </c>
      <c r="J156" s="5">
        <f>IFERROR(VLOOKUP(K156,Docentes_Lista!$A$2:$C$212,2,FALSE),"")</f>
        <v>0</v>
      </c>
      <c r="K156" s="4"/>
      <c r="L156" s="2">
        <f>IFERROR(VLOOKUP(K156,Docentes_Lista!$A$2:$C$212,3,FALSE),"")</f>
        <v>0</v>
      </c>
    </row>
    <row r="157" spans="1:12" ht="30" customHeight="1">
      <c r="A157" s="2">
        <v>156</v>
      </c>
      <c r="B157" s="3" t="s">
        <v>153</v>
      </c>
      <c r="C157" s="3" t="s">
        <v>214</v>
      </c>
      <c r="D157" s="4" t="s">
        <v>215</v>
      </c>
      <c r="E157" s="3" t="s">
        <v>15</v>
      </c>
      <c r="F157" s="3" t="s">
        <v>16</v>
      </c>
      <c r="G157" s="3"/>
      <c r="H157" s="4" t="s">
        <v>17</v>
      </c>
      <c r="I157" s="4" t="s">
        <v>18</v>
      </c>
      <c r="J157" s="5">
        <f>IFERROR(VLOOKUP(K157,Docentes_Lista!$A$2:$C$212,2,FALSE),"")</f>
        <v>0</v>
      </c>
      <c r="K157" s="4"/>
      <c r="L157" s="2">
        <f>IFERROR(VLOOKUP(K157,Docentes_Lista!$A$2:$C$212,3,FALSE),"")</f>
        <v>0</v>
      </c>
    </row>
    <row r="158" spans="1:12" ht="30" customHeight="1">
      <c r="A158" s="2">
        <v>157</v>
      </c>
      <c r="B158" s="3" t="s">
        <v>148</v>
      </c>
      <c r="C158" s="3" t="s">
        <v>216</v>
      </c>
      <c r="D158" s="4" t="s">
        <v>217</v>
      </c>
      <c r="E158" s="3" t="s">
        <v>15</v>
      </c>
      <c r="F158" s="3" t="s">
        <v>16</v>
      </c>
      <c r="G158" s="3"/>
      <c r="H158" s="4" t="s">
        <v>17</v>
      </c>
      <c r="I158" s="4" t="s">
        <v>18</v>
      </c>
      <c r="J158" s="5">
        <f>IFERROR(VLOOKUP(K158,Docentes_Lista!$A$2:$C$212,2,FALSE),"")</f>
        <v>0</v>
      </c>
      <c r="K158" s="4"/>
      <c r="L158" s="2">
        <f>IFERROR(VLOOKUP(K158,Docentes_Lista!$A$2:$C$212,3,FALSE),"")</f>
        <v>0</v>
      </c>
    </row>
    <row r="159" spans="1:12" ht="30" customHeight="1">
      <c r="A159" s="2">
        <v>158</v>
      </c>
      <c r="B159" s="3" t="s">
        <v>148</v>
      </c>
      <c r="C159" s="3" t="s">
        <v>218</v>
      </c>
      <c r="D159" s="4" t="s">
        <v>219</v>
      </c>
      <c r="E159" s="3" t="s">
        <v>15</v>
      </c>
      <c r="F159" s="3" t="s">
        <v>16</v>
      </c>
      <c r="G159" s="3"/>
      <c r="H159" s="4" t="s">
        <v>17</v>
      </c>
      <c r="I159" s="4" t="s">
        <v>18</v>
      </c>
      <c r="J159" s="5">
        <f>IFERROR(VLOOKUP(K159,Docentes_Lista!$A$2:$C$212,2,FALSE),"")</f>
        <v>0</v>
      </c>
      <c r="K159" s="4"/>
      <c r="L159" s="2">
        <f>IFERROR(VLOOKUP(K159,Docentes_Lista!$A$2:$C$212,3,FALSE),"")</f>
        <v>0</v>
      </c>
    </row>
    <row r="160" spans="1:12" ht="30" customHeight="1">
      <c r="A160" s="2">
        <v>159</v>
      </c>
      <c r="B160" s="3" t="s">
        <v>148</v>
      </c>
      <c r="C160" s="3" t="s">
        <v>220</v>
      </c>
      <c r="D160" s="4" t="s">
        <v>221</v>
      </c>
      <c r="E160" s="3" t="s">
        <v>15</v>
      </c>
      <c r="F160" s="3" t="s">
        <v>16</v>
      </c>
      <c r="G160" s="3"/>
      <c r="H160" s="4" t="s">
        <v>17</v>
      </c>
      <c r="I160" s="4" t="s">
        <v>18</v>
      </c>
      <c r="J160" s="5">
        <f>IFERROR(VLOOKUP(K160,Docentes_Lista!$A$2:$C$212,2,FALSE),"")</f>
        <v>0</v>
      </c>
      <c r="K160" s="4"/>
      <c r="L160" s="2">
        <f>IFERROR(VLOOKUP(K160,Docentes_Lista!$A$2:$C$212,3,FALSE),"")</f>
        <v>0</v>
      </c>
    </row>
    <row r="161" spans="1:12" ht="30" customHeight="1">
      <c r="A161" s="2">
        <v>160</v>
      </c>
      <c r="B161" s="3" t="s">
        <v>148</v>
      </c>
      <c r="C161" s="3" t="s">
        <v>222</v>
      </c>
      <c r="D161" s="4" t="s">
        <v>223</v>
      </c>
      <c r="E161" s="3" t="s">
        <v>15</v>
      </c>
      <c r="F161" s="3" t="s">
        <v>16</v>
      </c>
      <c r="G161" s="3"/>
      <c r="H161" s="4" t="s">
        <v>17</v>
      </c>
      <c r="I161" s="4" t="s">
        <v>18</v>
      </c>
      <c r="J161" s="5">
        <f>IFERROR(VLOOKUP(K161,Docentes_Lista!$A$2:$C$212,2,FALSE),"")</f>
        <v>0</v>
      </c>
      <c r="K161" s="4"/>
      <c r="L161" s="2">
        <f>IFERROR(VLOOKUP(K161,Docentes_Lista!$A$2:$C$212,3,FALSE),"")</f>
        <v>0</v>
      </c>
    </row>
    <row r="162" spans="1:12" ht="30" customHeight="1">
      <c r="A162" s="2">
        <v>161</v>
      </c>
      <c r="B162" s="3" t="s">
        <v>148</v>
      </c>
      <c r="C162" s="3" t="s">
        <v>224</v>
      </c>
      <c r="D162" s="4" t="s">
        <v>225</v>
      </c>
      <c r="E162" s="3" t="s">
        <v>15</v>
      </c>
      <c r="F162" s="3" t="s">
        <v>16</v>
      </c>
      <c r="G162" s="3"/>
      <c r="H162" s="4" t="s">
        <v>17</v>
      </c>
      <c r="I162" s="4" t="s">
        <v>18</v>
      </c>
      <c r="J162" s="5">
        <f>IFERROR(VLOOKUP(K162,Docentes_Lista!$A$2:$C$212,2,FALSE),"")</f>
        <v>0</v>
      </c>
      <c r="K162" s="4"/>
      <c r="L162" s="2">
        <f>IFERROR(VLOOKUP(K162,Docentes_Lista!$A$2:$C$212,3,FALSE),"")</f>
        <v>0</v>
      </c>
    </row>
    <row r="163" spans="1:12" ht="30" customHeight="1">
      <c r="A163" s="2">
        <v>162</v>
      </c>
      <c r="B163" s="3" t="s">
        <v>148</v>
      </c>
      <c r="C163" s="3" t="s">
        <v>226</v>
      </c>
      <c r="D163" s="4" t="s">
        <v>227</v>
      </c>
      <c r="E163" s="3" t="s">
        <v>15</v>
      </c>
      <c r="F163" s="3" t="s">
        <v>16</v>
      </c>
      <c r="G163" s="3"/>
      <c r="H163" s="4" t="s">
        <v>17</v>
      </c>
      <c r="I163" s="4" t="s">
        <v>18</v>
      </c>
      <c r="J163" s="5">
        <f>IFERROR(VLOOKUP(K163,Docentes_Lista!$A$2:$C$212,2,FALSE),"")</f>
        <v>0</v>
      </c>
      <c r="K163" s="4"/>
      <c r="L163" s="2">
        <f>IFERROR(VLOOKUP(K163,Docentes_Lista!$A$2:$C$212,3,FALSE),"")</f>
        <v>0</v>
      </c>
    </row>
    <row r="164" spans="1:12" ht="30" customHeight="1">
      <c r="A164" s="2">
        <v>163</v>
      </c>
      <c r="B164" s="3" t="s">
        <v>148</v>
      </c>
      <c r="C164" s="3" t="s">
        <v>228</v>
      </c>
      <c r="D164" s="4" t="s">
        <v>229</v>
      </c>
      <c r="E164" s="3" t="s">
        <v>15</v>
      </c>
      <c r="F164" s="3" t="s">
        <v>35</v>
      </c>
      <c r="G164" s="3" t="s">
        <v>36</v>
      </c>
      <c r="H164" s="4" t="s">
        <v>37</v>
      </c>
      <c r="I164" s="4" t="s">
        <v>38</v>
      </c>
      <c r="J164" s="5">
        <f>IFERROR(VLOOKUP(K164,Docentes_Lista!$A$2:$C$212,2,FALSE),"")</f>
        <v>0</v>
      </c>
      <c r="K164" s="4"/>
      <c r="L164" s="2">
        <f>IFERROR(VLOOKUP(K164,Docentes_Lista!$A$2:$C$212,3,FALSE),"")</f>
        <v>0</v>
      </c>
    </row>
    <row r="165" spans="1:12" ht="30" customHeight="1">
      <c r="A165" s="2">
        <v>164</v>
      </c>
      <c r="B165" s="3" t="s">
        <v>148</v>
      </c>
      <c r="C165" s="3" t="s">
        <v>230</v>
      </c>
      <c r="D165" s="4" t="s">
        <v>231</v>
      </c>
      <c r="E165" s="3" t="s">
        <v>15</v>
      </c>
      <c r="F165" s="3" t="s">
        <v>16</v>
      </c>
      <c r="G165" s="3"/>
      <c r="H165" s="4" t="s">
        <v>17</v>
      </c>
      <c r="I165" s="4" t="s">
        <v>18</v>
      </c>
      <c r="J165" s="5">
        <f>IFERROR(VLOOKUP(K165,Docentes_Lista!$A$2:$C$212,2,FALSE),"")</f>
        <v>0</v>
      </c>
      <c r="K165" s="4"/>
      <c r="L165" s="2">
        <f>IFERROR(VLOOKUP(K165,Docentes_Lista!$A$2:$C$212,3,FALSE),"")</f>
        <v>0</v>
      </c>
    </row>
    <row r="166" spans="1:12" ht="30" customHeight="1">
      <c r="A166" s="2">
        <v>165</v>
      </c>
      <c r="B166" s="3" t="s">
        <v>153</v>
      </c>
      <c r="C166" s="3" t="s">
        <v>232</v>
      </c>
      <c r="D166" s="4" t="s">
        <v>233</v>
      </c>
      <c r="E166" s="3" t="s">
        <v>15</v>
      </c>
      <c r="F166" s="3" t="s">
        <v>39</v>
      </c>
      <c r="G166" s="3" t="s">
        <v>36</v>
      </c>
      <c r="H166" s="4" t="s">
        <v>78</v>
      </c>
      <c r="I166" s="4" t="s">
        <v>38</v>
      </c>
      <c r="J166" s="5">
        <f>IFERROR(VLOOKUP(K166,Docentes_Lista!$A$2:$C$212,2,FALSE),"")</f>
        <v>0</v>
      </c>
      <c r="K166" s="4"/>
      <c r="L166" s="2">
        <f>IFERROR(VLOOKUP(K166,Docentes_Lista!$A$2:$C$212,3,FALSE),"")</f>
        <v>0</v>
      </c>
    </row>
    <row r="167" spans="1:12" ht="30" customHeight="1">
      <c r="A167" s="2">
        <v>166</v>
      </c>
      <c r="B167" s="3" t="s">
        <v>153</v>
      </c>
      <c r="C167" s="3" t="s">
        <v>234</v>
      </c>
      <c r="D167" s="4" t="s">
        <v>235</v>
      </c>
      <c r="E167" s="3" t="s">
        <v>15</v>
      </c>
      <c r="F167" s="3" t="s">
        <v>16</v>
      </c>
      <c r="G167" s="3"/>
      <c r="H167" s="4" t="s">
        <v>17</v>
      </c>
      <c r="I167" s="4" t="s">
        <v>18</v>
      </c>
      <c r="J167" s="5">
        <f>IFERROR(VLOOKUP(K167,Docentes_Lista!$A$2:$C$212,2,FALSE),"")</f>
        <v>0</v>
      </c>
      <c r="K167" s="4"/>
      <c r="L167" s="2">
        <f>IFERROR(VLOOKUP(K167,Docentes_Lista!$A$2:$C$212,3,FALSE),"")</f>
        <v>0</v>
      </c>
    </row>
    <row r="168" spans="1:12" ht="30" customHeight="1">
      <c r="A168" s="2">
        <v>167</v>
      </c>
      <c r="B168" s="3" t="s">
        <v>148</v>
      </c>
      <c r="C168" s="3" t="s">
        <v>236</v>
      </c>
      <c r="D168" s="4" t="s">
        <v>237</v>
      </c>
      <c r="E168" s="3" t="s">
        <v>15</v>
      </c>
      <c r="F168" s="3" t="s">
        <v>35</v>
      </c>
      <c r="G168" s="3" t="s">
        <v>36</v>
      </c>
      <c r="H168" s="4" t="s">
        <v>37</v>
      </c>
      <c r="I168" s="4" t="s">
        <v>38</v>
      </c>
      <c r="J168" s="5">
        <f>IFERROR(VLOOKUP(K168,Docentes_Lista!$A$2:$C$212,2,FALSE),"")</f>
        <v>0</v>
      </c>
      <c r="K168" s="4"/>
      <c r="L168" s="2">
        <f>IFERROR(VLOOKUP(K168,Docentes_Lista!$A$2:$C$212,3,FALSE),"")</f>
        <v>0</v>
      </c>
    </row>
    <row r="169" spans="1:12" ht="30" customHeight="1">
      <c r="A169" s="2">
        <v>168</v>
      </c>
      <c r="B169" s="3" t="s">
        <v>148</v>
      </c>
      <c r="C169" s="3" t="s">
        <v>238</v>
      </c>
      <c r="D169" s="4" t="s">
        <v>239</v>
      </c>
      <c r="E169" s="3" t="s">
        <v>15</v>
      </c>
      <c r="F169" s="3" t="s">
        <v>16</v>
      </c>
      <c r="G169" s="3"/>
      <c r="H169" s="4" t="s">
        <v>17</v>
      </c>
      <c r="I169" s="4" t="s">
        <v>18</v>
      </c>
      <c r="J169" s="5">
        <f>IFERROR(VLOOKUP(K169,Docentes_Lista!$A$2:$C$212,2,FALSE),"")</f>
        <v>0</v>
      </c>
      <c r="K169" s="4"/>
      <c r="L169" s="2">
        <f>IFERROR(VLOOKUP(K169,Docentes_Lista!$A$2:$C$212,3,FALSE),"")</f>
        <v>0</v>
      </c>
    </row>
    <row r="170" spans="1:12" ht="30" customHeight="1">
      <c r="A170" s="2">
        <v>169</v>
      </c>
      <c r="B170" s="3" t="s">
        <v>148</v>
      </c>
      <c r="C170" s="3" t="s">
        <v>240</v>
      </c>
      <c r="D170" s="4" t="s">
        <v>241</v>
      </c>
      <c r="E170" s="3" t="s">
        <v>15</v>
      </c>
      <c r="F170" s="3" t="s">
        <v>16</v>
      </c>
      <c r="G170" s="3"/>
      <c r="H170" s="4" t="s">
        <v>17</v>
      </c>
      <c r="I170" s="4" t="s">
        <v>18</v>
      </c>
      <c r="J170" s="5">
        <f>IFERROR(VLOOKUP(K170,Docentes_Lista!$A$2:$C$212,2,FALSE),"")</f>
        <v>0</v>
      </c>
      <c r="K170" s="4"/>
      <c r="L170" s="2">
        <f>IFERROR(VLOOKUP(K170,Docentes_Lista!$A$2:$C$212,3,FALSE),"")</f>
        <v>0</v>
      </c>
    </row>
    <row r="171" spans="1:12" ht="30" customHeight="1">
      <c r="A171" s="2">
        <v>170</v>
      </c>
      <c r="B171" s="3" t="s">
        <v>153</v>
      </c>
      <c r="C171" s="3" t="s">
        <v>242</v>
      </c>
      <c r="D171" s="4" t="s">
        <v>243</v>
      </c>
      <c r="E171" s="3" t="s">
        <v>21</v>
      </c>
      <c r="F171" s="3" t="s">
        <v>39</v>
      </c>
      <c r="G171" s="3" t="s">
        <v>36</v>
      </c>
      <c r="H171" s="4" t="s">
        <v>66</v>
      </c>
      <c r="I171" s="4" t="s">
        <v>106</v>
      </c>
      <c r="J171" s="5">
        <f>IFERROR(VLOOKUP(K171,Docentes_Lista!$A$2:$C$212,2,FALSE),"")</f>
        <v>0</v>
      </c>
      <c r="K171" s="4"/>
      <c r="L171" s="2">
        <f>IFERROR(VLOOKUP(K171,Docentes_Lista!$A$2:$C$212,3,FALSE),"")</f>
        <v>0</v>
      </c>
    </row>
    <row r="172" spans="1:12" ht="30" customHeight="1">
      <c r="A172" s="2">
        <v>171</v>
      </c>
      <c r="B172" s="3" t="s">
        <v>153</v>
      </c>
      <c r="C172" s="3" t="s">
        <v>242</v>
      </c>
      <c r="D172" s="4" t="s">
        <v>243</v>
      </c>
      <c r="E172" s="3" t="s">
        <v>15</v>
      </c>
      <c r="F172" s="3" t="s">
        <v>35</v>
      </c>
      <c r="G172" s="3" t="s">
        <v>36</v>
      </c>
      <c r="H172" s="4" t="s">
        <v>244</v>
      </c>
      <c r="I172" s="4" t="s">
        <v>106</v>
      </c>
      <c r="J172" s="5">
        <f>IFERROR(VLOOKUP(K172,Docentes_Lista!$A$2:$C$212,2,FALSE),"")</f>
        <v>0</v>
      </c>
      <c r="K172" s="4"/>
      <c r="L172" s="2">
        <f>IFERROR(VLOOKUP(K172,Docentes_Lista!$A$2:$C$212,3,FALSE),"")</f>
        <v>0</v>
      </c>
    </row>
    <row r="173" spans="1:12" ht="30" customHeight="1">
      <c r="A173" s="2">
        <v>172</v>
      </c>
      <c r="B173" s="3" t="s">
        <v>153</v>
      </c>
      <c r="C173" s="3" t="s">
        <v>245</v>
      </c>
      <c r="D173" s="4" t="s">
        <v>246</v>
      </c>
      <c r="E173" s="3" t="s">
        <v>15</v>
      </c>
      <c r="F173" s="3" t="s">
        <v>16</v>
      </c>
      <c r="G173" s="3"/>
      <c r="H173" s="4" t="s">
        <v>17</v>
      </c>
      <c r="I173" s="4" t="s">
        <v>18</v>
      </c>
      <c r="J173" s="5">
        <f>IFERROR(VLOOKUP(K173,Docentes_Lista!$A$2:$C$212,2,FALSE),"")</f>
        <v>0</v>
      </c>
      <c r="K173" s="4"/>
      <c r="L173" s="2">
        <f>IFERROR(VLOOKUP(K173,Docentes_Lista!$A$2:$C$212,3,FALSE),"")</f>
        <v>0</v>
      </c>
    </row>
    <row r="174" spans="1:12" ht="30" customHeight="1">
      <c r="A174" s="2">
        <v>173</v>
      </c>
      <c r="B174" s="3" t="s">
        <v>153</v>
      </c>
      <c r="C174" s="3" t="s">
        <v>247</v>
      </c>
      <c r="D174" s="4" t="s">
        <v>248</v>
      </c>
      <c r="E174" s="3" t="s">
        <v>15</v>
      </c>
      <c r="F174" s="3" t="s">
        <v>35</v>
      </c>
      <c r="G174" s="3" t="s">
        <v>36</v>
      </c>
      <c r="H174" s="4" t="s">
        <v>66</v>
      </c>
      <c r="I174" s="4" t="s">
        <v>106</v>
      </c>
      <c r="J174" s="5">
        <f>IFERROR(VLOOKUP(K174,Docentes_Lista!$A$2:$C$212,2,FALSE),"")</f>
        <v>0</v>
      </c>
      <c r="K174" s="4"/>
      <c r="L174" s="2">
        <f>IFERROR(VLOOKUP(K174,Docentes_Lista!$A$2:$C$212,3,FALSE),"")</f>
        <v>0</v>
      </c>
    </row>
    <row r="175" spans="1:12" ht="30" customHeight="1">
      <c r="A175" s="2">
        <v>174</v>
      </c>
      <c r="B175" s="3" t="s">
        <v>153</v>
      </c>
      <c r="C175" s="3" t="s">
        <v>249</v>
      </c>
      <c r="D175" s="4" t="s">
        <v>250</v>
      </c>
      <c r="E175" s="3" t="s">
        <v>15</v>
      </c>
      <c r="F175" s="3" t="s">
        <v>16</v>
      </c>
      <c r="G175" s="3"/>
      <c r="H175" s="4" t="s">
        <v>17</v>
      </c>
      <c r="I175" s="4" t="s">
        <v>18</v>
      </c>
      <c r="J175" s="5">
        <f>IFERROR(VLOOKUP(K175,Docentes_Lista!$A$2:$C$212,2,FALSE),"")</f>
        <v>0</v>
      </c>
      <c r="K175" s="4"/>
      <c r="L175" s="2">
        <f>IFERROR(VLOOKUP(K175,Docentes_Lista!$A$2:$C$212,3,FALSE),"")</f>
        <v>0</v>
      </c>
    </row>
    <row r="176" spans="1:12" ht="30" customHeight="1">
      <c r="A176" s="2">
        <v>175</v>
      </c>
      <c r="B176" s="3" t="s">
        <v>148</v>
      </c>
      <c r="C176" s="3" t="s">
        <v>251</v>
      </c>
      <c r="D176" s="4" t="s">
        <v>252</v>
      </c>
      <c r="E176" s="3" t="s">
        <v>15</v>
      </c>
      <c r="F176" s="3" t="s">
        <v>16</v>
      </c>
      <c r="G176" s="3"/>
      <c r="H176" s="4" t="s">
        <v>17</v>
      </c>
      <c r="I176" s="4" t="s">
        <v>18</v>
      </c>
      <c r="J176" s="5">
        <f>IFERROR(VLOOKUP(K176,Docentes_Lista!$A$2:$C$212,2,FALSE),"")</f>
        <v>0</v>
      </c>
      <c r="K176" s="4"/>
      <c r="L176" s="2">
        <f>IFERROR(VLOOKUP(K176,Docentes_Lista!$A$2:$C$212,3,FALSE),"")</f>
        <v>0</v>
      </c>
    </row>
    <row r="177" spans="1:12" ht="30" customHeight="1">
      <c r="A177" s="2">
        <v>176</v>
      </c>
      <c r="B177" s="3" t="s">
        <v>148</v>
      </c>
      <c r="C177" s="3" t="s">
        <v>253</v>
      </c>
      <c r="D177" s="4" t="s">
        <v>254</v>
      </c>
      <c r="E177" s="3" t="s">
        <v>15</v>
      </c>
      <c r="F177" s="3" t="s">
        <v>35</v>
      </c>
      <c r="G177" s="3" t="s">
        <v>36</v>
      </c>
      <c r="H177" s="4" t="s">
        <v>37</v>
      </c>
      <c r="I177" s="4" t="s">
        <v>106</v>
      </c>
      <c r="J177" s="5">
        <f>IFERROR(VLOOKUP(K177,Docentes_Lista!$A$2:$C$212,2,FALSE),"")</f>
        <v>0</v>
      </c>
      <c r="K177" s="4"/>
      <c r="L177" s="2">
        <f>IFERROR(VLOOKUP(K177,Docentes_Lista!$A$2:$C$212,3,FALSE),"")</f>
        <v>0</v>
      </c>
    </row>
    <row r="178" spans="1:12" ht="30" customHeight="1">
      <c r="A178" s="2">
        <v>177</v>
      </c>
      <c r="B178" s="3" t="s">
        <v>148</v>
      </c>
      <c r="C178" s="3" t="s">
        <v>253</v>
      </c>
      <c r="D178" s="4" t="s">
        <v>254</v>
      </c>
      <c r="E178" s="3" t="s">
        <v>15</v>
      </c>
      <c r="F178" s="3" t="s">
        <v>108</v>
      </c>
      <c r="G178" s="3" t="s">
        <v>36</v>
      </c>
      <c r="H178" s="4" t="s">
        <v>78</v>
      </c>
      <c r="I178" s="4" t="s">
        <v>106</v>
      </c>
      <c r="J178" s="5">
        <f>IFERROR(VLOOKUP(K178,Docentes_Lista!$A$2:$C$212,2,FALSE),"")</f>
        <v>0</v>
      </c>
      <c r="K178" s="4"/>
      <c r="L178" s="2">
        <f>IFERROR(VLOOKUP(K178,Docentes_Lista!$A$2:$C$212,3,FALSE),"")</f>
        <v>0</v>
      </c>
    </row>
    <row r="179" spans="1:12" ht="30" customHeight="1">
      <c r="A179" s="2">
        <v>178</v>
      </c>
      <c r="B179" s="3" t="s">
        <v>148</v>
      </c>
      <c r="C179" s="3" t="s">
        <v>255</v>
      </c>
      <c r="D179" s="4" t="s">
        <v>256</v>
      </c>
      <c r="E179" s="3" t="s">
        <v>15</v>
      </c>
      <c r="F179" s="3" t="s">
        <v>16</v>
      </c>
      <c r="G179" s="3"/>
      <c r="H179" s="4" t="s">
        <v>17</v>
      </c>
      <c r="I179" s="4" t="s">
        <v>18</v>
      </c>
      <c r="J179" s="5">
        <f>IFERROR(VLOOKUP(K179,Docentes_Lista!$A$2:$C$212,2,FALSE),"")</f>
        <v>0</v>
      </c>
      <c r="K179" s="4"/>
      <c r="L179" s="2">
        <f>IFERROR(VLOOKUP(K179,Docentes_Lista!$A$2:$C$212,3,FALSE),"")</f>
        <v>0</v>
      </c>
    </row>
    <row r="180" spans="1:12" ht="30" customHeight="1">
      <c r="A180" s="2">
        <v>179</v>
      </c>
      <c r="B180" s="3" t="s">
        <v>148</v>
      </c>
      <c r="C180" s="3" t="s">
        <v>257</v>
      </c>
      <c r="D180" s="4" t="s">
        <v>258</v>
      </c>
      <c r="E180" s="3" t="s">
        <v>15</v>
      </c>
      <c r="F180" s="3" t="s">
        <v>16</v>
      </c>
      <c r="G180" s="3"/>
      <c r="H180" s="4" t="s">
        <v>17</v>
      </c>
      <c r="I180" s="4" t="s">
        <v>18</v>
      </c>
      <c r="J180" s="5">
        <f>IFERROR(VLOOKUP(K180,Docentes_Lista!$A$2:$C$212,2,FALSE),"")</f>
        <v>0</v>
      </c>
      <c r="K180" s="4"/>
      <c r="L180" s="2">
        <f>IFERROR(VLOOKUP(K180,Docentes_Lista!$A$2:$C$212,3,FALSE),"")</f>
        <v>0</v>
      </c>
    </row>
    <row r="181" spans="1:12" ht="30" customHeight="1">
      <c r="A181" s="2">
        <v>180</v>
      </c>
      <c r="B181" s="3" t="s">
        <v>148</v>
      </c>
      <c r="C181" s="3" t="s">
        <v>259</v>
      </c>
      <c r="D181" s="4" t="s">
        <v>260</v>
      </c>
      <c r="E181" s="3" t="s">
        <v>15</v>
      </c>
      <c r="F181" s="3" t="s">
        <v>108</v>
      </c>
      <c r="G181" s="3" t="s">
        <v>36</v>
      </c>
      <c r="H181" s="4" t="s">
        <v>78</v>
      </c>
      <c r="I181" s="4" t="s">
        <v>106</v>
      </c>
      <c r="J181" s="5">
        <f>IFERROR(VLOOKUP(K181,Docentes_Lista!$A$2:$C$212,2,FALSE),"")</f>
        <v>0</v>
      </c>
      <c r="K181" s="4"/>
      <c r="L181" s="2">
        <f>IFERROR(VLOOKUP(K181,Docentes_Lista!$A$2:$C$212,3,FALSE),"")</f>
        <v>0</v>
      </c>
    </row>
    <row r="182" spans="1:12" ht="30" customHeight="1">
      <c r="A182" s="2">
        <v>181</v>
      </c>
      <c r="B182" s="3" t="s">
        <v>148</v>
      </c>
      <c r="C182" s="3" t="s">
        <v>259</v>
      </c>
      <c r="D182" s="4" t="s">
        <v>260</v>
      </c>
      <c r="E182" s="3" t="s">
        <v>21</v>
      </c>
      <c r="F182" s="3" t="s">
        <v>84</v>
      </c>
      <c r="G182" s="3" t="s">
        <v>43</v>
      </c>
      <c r="H182" s="4" t="s">
        <v>85</v>
      </c>
      <c r="I182" s="4" t="s">
        <v>106</v>
      </c>
      <c r="J182" s="5">
        <f>IFERROR(VLOOKUP(K182,Docentes_Lista!$A$2:$C$212,2,FALSE),"")</f>
        <v>0</v>
      </c>
      <c r="K182" s="4"/>
      <c r="L182" s="2">
        <f>IFERROR(VLOOKUP(K182,Docentes_Lista!$A$2:$C$212,3,FALSE),"")</f>
        <v>0</v>
      </c>
    </row>
    <row r="183" spans="1:12" ht="30" customHeight="1">
      <c r="A183" s="2">
        <v>182</v>
      </c>
      <c r="B183" s="3" t="s">
        <v>148</v>
      </c>
      <c r="C183" s="3" t="s">
        <v>261</v>
      </c>
      <c r="D183" s="4" t="s">
        <v>262</v>
      </c>
      <c r="E183" s="3" t="s">
        <v>15</v>
      </c>
      <c r="F183" s="3" t="s">
        <v>16</v>
      </c>
      <c r="G183" s="3"/>
      <c r="H183" s="4" t="s">
        <v>17</v>
      </c>
      <c r="I183" s="4" t="s">
        <v>18</v>
      </c>
      <c r="J183" s="5">
        <f>IFERROR(VLOOKUP(K183,Docentes_Lista!$A$2:$C$212,2,FALSE),"")</f>
        <v>0</v>
      </c>
      <c r="K183" s="4"/>
      <c r="L183" s="2">
        <f>IFERROR(VLOOKUP(K183,Docentes_Lista!$A$2:$C$212,3,FALSE),"")</f>
        <v>0</v>
      </c>
    </row>
    <row r="184" spans="1:12" ht="30" customHeight="1">
      <c r="A184" s="2">
        <v>183</v>
      </c>
      <c r="B184" s="3" t="s">
        <v>148</v>
      </c>
      <c r="C184" s="3" t="s">
        <v>263</v>
      </c>
      <c r="D184" s="4" t="s">
        <v>264</v>
      </c>
      <c r="E184" s="3" t="s">
        <v>15</v>
      </c>
      <c r="F184" s="3" t="s">
        <v>16</v>
      </c>
      <c r="G184" s="3"/>
      <c r="H184" s="4" t="s">
        <v>17</v>
      </c>
      <c r="I184" s="4" t="s">
        <v>18</v>
      </c>
      <c r="J184" s="5">
        <f>IFERROR(VLOOKUP(K184,Docentes_Lista!$A$2:$C$212,2,FALSE),"")</f>
        <v>0</v>
      </c>
      <c r="K184" s="4"/>
      <c r="L184" s="2">
        <f>IFERROR(VLOOKUP(K184,Docentes_Lista!$A$2:$C$212,3,FALSE),"")</f>
        <v>0</v>
      </c>
    </row>
    <row r="185" spans="1:12" ht="30" customHeight="1">
      <c r="A185" s="2">
        <v>184</v>
      </c>
      <c r="B185" s="3" t="s">
        <v>148</v>
      </c>
      <c r="C185" s="3" t="s">
        <v>265</v>
      </c>
      <c r="D185" s="4" t="s">
        <v>266</v>
      </c>
      <c r="E185" s="3" t="s">
        <v>15</v>
      </c>
      <c r="F185" s="3" t="s">
        <v>16</v>
      </c>
      <c r="G185" s="3"/>
      <c r="H185" s="4" t="s">
        <v>17</v>
      </c>
      <c r="I185" s="4" t="s">
        <v>18</v>
      </c>
      <c r="J185" s="5">
        <f>IFERROR(VLOOKUP(K185,Docentes_Lista!$A$2:$C$212,2,FALSE),"")</f>
        <v>0</v>
      </c>
      <c r="K185" s="4"/>
      <c r="L185" s="2">
        <f>IFERROR(VLOOKUP(K185,Docentes_Lista!$A$2:$C$212,3,FALSE),"")</f>
        <v>0</v>
      </c>
    </row>
    <row r="186" spans="1:12" ht="30" customHeight="1">
      <c r="A186" s="2">
        <v>185</v>
      </c>
      <c r="B186" s="3" t="s">
        <v>148</v>
      </c>
      <c r="C186" s="3" t="s">
        <v>267</v>
      </c>
      <c r="D186" s="4" t="s">
        <v>268</v>
      </c>
      <c r="E186" s="3" t="s">
        <v>15</v>
      </c>
      <c r="F186" s="3" t="s">
        <v>16</v>
      </c>
      <c r="G186" s="3"/>
      <c r="H186" s="4" t="s">
        <v>17</v>
      </c>
      <c r="I186" s="4" t="s">
        <v>18</v>
      </c>
      <c r="J186" s="5">
        <f>IFERROR(VLOOKUP(K186,Docentes_Lista!$A$2:$C$212,2,FALSE),"")</f>
        <v>0</v>
      </c>
      <c r="K186" s="4"/>
      <c r="L186" s="2">
        <f>IFERROR(VLOOKUP(K186,Docentes_Lista!$A$2:$C$212,3,FALSE),"")</f>
        <v>0</v>
      </c>
    </row>
    <row r="187" spans="1:12" ht="30" customHeight="1">
      <c r="A187" s="2">
        <v>186</v>
      </c>
      <c r="B187" s="3" t="s">
        <v>153</v>
      </c>
      <c r="C187" s="3" t="s">
        <v>269</v>
      </c>
      <c r="D187" s="4" t="s">
        <v>270</v>
      </c>
      <c r="E187" s="3" t="s">
        <v>15</v>
      </c>
      <c r="F187" s="3" t="s">
        <v>16</v>
      </c>
      <c r="G187" s="3"/>
      <c r="H187" s="4" t="s">
        <v>17</v>
      </c>
      <c r="I187" s="4" t="s">
        <v>18</v>
      </c>
      <c r="J187" s="5">
        <f>IFERROR(VLOOKUP(K187,Docentes_Lista!$A$2:$C$212,2,FALSE),"")</f>
        <v>0</v>
      </c>
      <c r="K187" s="4"/>
      <c r="L187" s="2">
        <f>IFERROR(VLOOKUP(K187,Docentes_Lista!$A$2:$C$212,3,FALSE),"")</f>
        <v>0</v>
      </c>
    </row>
    <row r="188" spans="1:12" ht="30" customHeight="1">
      <c r="A188" s="2">
        <v>187</v>
      </c>
      <c r="B188" s="3" t="s">
        <v>32</v>
      </c>
      <c r="C188" s="3" t="s">
        <v>271</v>
      </c>
      <c r="D188" s="4" t="s">
        <v>272</v>
      </c>
      <c r="E188" s="3" t="s">
        <v>21</v>
      </c>
      <c r="F188" s="3" t="s">
        <v>108</v>
      </c>
      <c r="G188" s="3" t="s">
        <v>36</v>
      </c>
      <c r="H188" s="4" t="s">
        <v>40</v>
      </c>
      <c r="I188" s="4" t="s">
        <v>106</v>
      </c>
      <c r="J188" s="5">
        <f>IFERROR(VLOOKUP(K188,Docentes_Lista!$A$2:$C$212,2,FALSE),"")</f>
        <v>0</v>
      </c>
      <c r="K188" s="4"/>
      <c r="L188" s="2">
        <f>IFERROR(VLOOKUP(K188,Docentes_Lista!$A$2:$C$212,3,FALSE),"")</f>
        <v>0</v>
      </c>
    </row>
    <row r="189" spans="1:12" ht="30" customHeight="1">
      <c r="A189" s="2">
        <v>188</v>
      </c>
      <c r="B189" s="3" t="s">
        <v>32</v>
      </c>
      <c r="C189" s="3" t="s">
        <v>271</v>
      </c>
      <c r="D189" s="4" t="s">
        <v>272</v>
      </c>
      <c r="E189" s="3" t="s">
        <v>15</v>
      </c>
      <c r="F189" s="3" t="s">
        <v>35</v>
      </c>
      <c r="G189" s="3" t="s">
        <v>36</v>
      </c>
      <c r="H189" s="4" t="s">
        <v>49</v>
      </c>
      <c r="I189" s="4" t="s">
        <v>106</v>
      </c>
      <c r="J189" s="5">
        <f>IFERROR(VLOOKUP(K189,Docentes_Lista!$A$2:$C$212,2,FALSE),"")</f>
        <v>0</v>
      </c>
      <c r="K189" s="4"/>
      <c r="L189" s="2">
        <f>IFERROR(VLOOKUP(K189,Docentes_Lista!$A$2:$C$212,3,FALSE),"")</f>
        <v>0</v>
      </c>
    </row>
    <row r="190" spans="1:12" ht="30" customHeight="1">
      <c r="A190" s="2">
        <v>189</v>
      </c>
      <c r="B190" s="3" t="s">
        <v>32</v>
      </c>
      <c r="C190" s="3" t="s">
        <v>271</v>
      </c>
      <c r="D190" s="4" t="s">
        <v>272</v>
      </c>
      <c r="E190" s="3" t="s">
        <v>41</v>
      </c>
      <c r="F190" s="3" t="s">
        <v>119</v>
      </c>
      <c r="G190" s="3" t="s">
        <v>43</v>
      </c>
      <c r="H190" s="4" t="s">
        <v>85</v>
      </c>
      <c r="I190" s="4" t="s">
        <v>106</v>
      </c>
      <c r="J190" s="5">
        <f>IFERROR(VLOOKUP(K190,Docentes_Lista!$A$2:$C$212,2,FALSE),"")</f>
        <v>0</v>
      </c>
      <c r="K190" s="4"/>
      <c r="L190" s="2">
        <f>IFERROR(VLOOKUP(K190,Docentes_Lista!$A$2:$C$212,3,FALSE),"")</f>
        <v>0</v>
      </c>
    </row>
    <row r="191" spans="1:12" ht="30" customHeight="1">
      <c r="A191" s="2">
        <v>190</v>
      </c>
      <c r="B191" s="3" t="s">
        <v>32</v>
      </c>
      <c r="C191" s="3" t="s">
        <v>271</v>
      </c>
      <c r="D191" s="4" t="s">
        <v>272</v>
      </c>
      <c r="E191" s="3" t="s">
        <v>50</v>
      </c>
      <c r="F191" s="3" t="s">
        <v>84</v>
      </c>
      <c r="G191" s="3" t="s">
        <v>43</v>
      </c>
      <c r="H191" s="4" t="s">
        <v>85</v>
      </c>
      <c r="I191" s="4" t="s">
        <v>106</v>
      </c>
      <c r="J191" s="5">
        <f>IFERROR(VLOOKUP(K191,Docentes_Lista!$A$2:$C$212,2,FALSE),"")</f>
        <v>0</v>
      </c>
      <c r="K191" s="4"/>
      <c r="L191" s="2">
        <f>IFERROR(VLOOKUP(K191,Docentes_Lista!$A$2:$C$212,3,FALSE),"")</f>
        <v>0</v>
      </c>
    </row>
    <row r="192" spans="1:12" ht="30" customHeight="1">
      <c r="A192" s="2">
        <v>191</v>
      </c>
      <c r="B192" s="3" t="s">
        <v>12</v>
      </c>
      <c r="C192" s="3" t="s">
        <v>273</v>
      </c>
      <c r="D192" s="4" t="s">
        <v>274</v>
      </c>
      <c r="E192" s="3" t="s">
        <v>15</v>
      </c>
      <c r="F192" s="3" t="s">
        <v>35</v>
      </c>
      <c r="G192" s="3" t="s">
        <v>36</v>
      </c>
      <c r="H192" s="4" t="s">
        <v>244</v>
      </c>
      <c r="I192" s="4" t="s">
        <v>38</v>
      </c>
      <c r="J192" s="5">
        <f>IFERROR(VLOOKUP(K192,Docentes_Lista!$A$2:$C$212,2,FALSE),"")</f>
        <v>0</v>
      </c>
      <c r="K192" s="4"/>
      <c r="L192" s="2">
        <f>IFERROR(VLOOKUP(K192,Docentes_Lista!$A$2:$C$212,3,FALSE),"")</f>
        <v>0</v>
      </c>
    </row>
    <row r="193" spans="1:12" ht="30" customHeight="1">
      <c r="A193" s="2">
        <v>192</v>
      </c>
      <c r="B193" s="3" t="s">
        <v>12</v>
      </c>
      <c r="C193" s="3" t="s">
        <v>275</v>
      </c>
      <c r="D193" s="4" t="s">
        <v>276</v>
      </c>
      <c r="E193" s="3" t="s">
        <v>41</v>
      </c>
      <c r="F193" s="3" t="s">
        <v>39</v>
      </c>
      <c r="G193" s="3" t="s">
        <v>36</v>
      </c>
      <c r="H193" s="4" t="s">
        <v>40</v>
      </c>
      <c r="I193" s="4" t="s">
        <v>106</v>
      </c>
      <c r="J193" s="5">
        <f>IFERROR(VLOOKUP(K193,Docentes_Lista!$A$2:$C$212,2,FALSE),"")</f>
        <v>0</v>
      </c>
      <c r="K193" s="4"/>
      <c r="L193" s="2">
        <f>IFERROR(VLOOKUP(K193,Docentes_Lista!$A$2:$C$212,3,FALSE),"")</f>
        <v>0</v>
      </c>
    </row>
    <row r="194" spans="1:12" ht="30" customHeight="1">
      <c r="A194" s="2">
        <v>193</v>
      </c>
      <c r="B194" s="3" t="s">
        <v>12</v>
      </c>
      <c r="C194" s="3" t="s">
        <v>275</v>
      </c>
      <c r="D194" s="4" t="s">
        <v>276</v>
      </c>
      <c r="E194" s="3" t="s">
        <v>21</v>
      </c>
      <c r="F194" s="3" t="s">
        <v>35</v>
      </c>
      <c r="G194" s="3" t="s">
        <v>36</v>
      </c>
      <c r="H194" s="4" t="s">
        <v>49</v>
      </c>
      <c r="I194" s="4" t="s">
        <v>106</v>
      </c>
      <c r="J194" s="5">
        <f>IFERROR(VLOOKUP(K194,Docentes_Lista!$A$2:$C$212,2,FALSE),"")</f>
        <v>0</v>
      </c>
      <c r="K194" s="4"/>
      <c r="L194" s="2">
        <f>IFERROR(VLOOKUP(K194,Docentes_Lista!$A$2:$C$212,3,FALSE),"")</f>
        <v>0</v>
      </c>
    </row>
    <row r="195" spans="1:12" ht="30" customHeight="1">
      <c r="A195" s="2">
        <v>194</v>
      </c>
      <c r="B195" s="3" t="s">
        <v>12</v>
      </c>
      <c r="C195" s="3" t="s">
        <v>275</v>
      </c>
      <c r="D195" s="4" t="s">
        <v>276</v>
      </c>
      <c r="E195" s="3" t="s">
        <v>50</v>
      </c>
      <c r="F195" s="3" t="s">
        <v>277</v>
      </c>
      <c r="G195" s="3" t="s">
        <v>278</v>
      </c>
      <c r="H195" s="4" t="s">
        <v>52</v>
      </c>
      <c r="I195" s="4" t="s">
        <v>106</v>
      </c>
      <c r="J195" s="5">
        <f>IFERROR(VLOOKUP(K195,Docentes_Lista!$A$2:$C$212,2,FALSE),"")</f>
        <v>0</v>
      </c>
      <c r="K195" s="4"/>
      <c r="L195" s="2">
        <f>IFERROR(VLOOKUP(K195,Docentes_Lista!$A$2:$C$212,3,FALSE),"")</f>
        <v>0</v>
      </c>
    </row>
    <row r="196" spans="1:12" ht="30" customHeight="1">
      <c r="A196" s="2">
        <v>195</v>
      </c>
      <c r="B196" s="3" t="s">
        <v>12</v>
      </c>
      <c r="C196" s="3" t="s">
        <v>275</v>
      </c>
      <c r="D196" s="4" t="s">
        <v>276</v>
      </c>
      <c r="E196" s="3" t="s">
        <v>53</v>
      </c>
      <c r="F196" s="3" t="s">
        <v>42</v>
      </c>
      <c r="G196" s="3" t="s">
        <v>43</v>
      </c>
      <c r="H196" s="4" t="s">
        <v>44</v>
      </c>
      <c r="I196" s="4" t="s">
        <v>106</v>
      </c>
      <c r="J196" s="5">
        <f>IFERROR(VLOOKUP(K196,Docentes_Lista!$A$2:$C$212,2,FALSE),"")</f>
        <v>0</v>
      </c>
      <c r="K196" s="4"/>
      <c r="L196" s="2">
        <f>IFERROR(VLOOKUP(K196,Docentes_Lista!$A$2:$C$212,3,FALSE),"")</f>
        <v>0</v>
      </c>
    </row>
    <row r="197" spans="1:12" ht="30" customHeight="1">
      <c r="A197" s="2">
        <v>196</v>
      </c>
      <c r="B197" s="3" t="s">
        <v>32</v>
      </c>
      <c r="C197" s="3" t="s">
        <v>279</v>
      </c>
      <c r="D197" s="4" t="s">
        <v>280</v>
      </c>
      <c r="E197" s="3" t="s">
        <v>15</v>
      </c>
      <c r="F197" s="3" t="s">
        <v>35</v>
      </c>
      <c r="G197" s="3" t="s">
        <v>36</v>
      </c>
      <c r="H197" s="4" t="s">
        <v>40</v>
      </c>
      <c r="I197" s="4" t="s">
        <v>38</v>
      </c>
      <c r="J197" s="5">
        <f>IFERROR(VLOOKUP(K197,Docentes_Lista!$A$2:$C$212,2,FALSE),"")</f>
        <v>0</v>
      </c>
      <c r="K197" s="4"/>
      <c r="L197" s="2">
        <f>IFERROR(VLOOKUP(K197,Docentes_Lista!$A$2:$C$212,3,FALSE),"")</f>
        <v>0</v>
      </c>
    </row>
    <row r="198" spans="1:12" ht="30" customHeight="1">
      <c r="A198" s="2">
        <v>197</v>
      </c>
      <c r="B198" s="3" t="s">
        <v>12</v>
      </c>
      <c r="C198" s="3" t="s">
        <v>281</v>
      </c>
      <c r="D198" s="4" t="s">
        <v>282</v>
      </c>
      <c r="E198" s="3" t="s">
        <v>15</v>
      </c>
      <c r="F198" s="3" t="s">
        <v>39</v>
      </c>
      <c r="G198" s="3" t="s">
        <v>36</v>
      </c>
      <c r="H198" s="4" t="s">
        <v>40</v>
      </c>
      <c r="I198" s="4" t="s">
        <v>38</v>
      </c>
      <c r="J198" s="5">
        <f>IFERROR(VLOOKUP(K198,Docentes_Lista!$A$2:$C$212,2,FALSE),"")</f>
        <v>0</v>
      </c>
      <c r="K198" s="4"/>
      <c r="L198" s="2">
        <f>IFERROR(VLOOKUP(K198,Docentes_Lista!$A$2:$C$212,3,FALSE),"")</f>
        <v>0</v>
      </c>
    </row>
    <row r="199" spans="1:12" ht="30" customHeight="1">
      <c r="A199" s="2">
        <v>198</v>
      </c>
      <c r="B199" s="3" t="s">
        <v>12</v>
      </c>
      <c r="C199" s="3" t="s">
        <v>283</v>
      </c>
      <c r="D199" s="4" t="s">
        <v>14</v>
      </c>
      <c r="E199" s="3" t="s">
        <v>15</v>
      </c>
      <c r="F199" s="3" t="s">
        <v>35</v>
      </c>
      <c r="G199" s="3" t="s">
        <v>36</v>
      </c>
      <c r="H199" s="4" t="s">
        <v>40</v>
      </c>
      <c r="I199" s="4" t="s">
        <v>106</v>
      </c>
      <c r="J199" s="5">
        <f>IFERROR(VLOOKUP(K199,Docentes_Lista!$A$2:$C$212,2,FALSE),"")</f>
        <v>0</v>
      </c>
      <c r="K199" s="4"/>
      <c r="L199" s="2">
        <f>IFERROR(VLOOKUP(K199,Docentes_Lista!$A$2:$C$212,3,FALSE),"")</f>
        <v>0</v>
      </c>
    </row>
    <row r="200" spans="1:12" ht="30" customHeight="1">
      <c r="A200" s="2">
        <v>199</v>
      </c>
      <c r="B200" s="3" t="s">
        <v>32</v>
      </c>
      <c r="C200" s="3" t="s">
        <v>284</v>
      </c>
      <c r="D200" s="4" t="s">
        <v>285</v>
      </c>
      <c r="E200" s="3" t="s">
        <v>15</v>
      </c>
      <c r="F200" s="3" t="s">
        <v>107</v>
      </c>
      <c r="G200" s="3" t="s">
        <v>36</v>
      </c>
      <c r="H200" s="4" t="s">
        <v>40</v>
      </c>
      <c r="I200" s="4" t="s">
        <v>106</v>
      </c>
      <c r="J200" s="5">
        <f>IFERROR(VLOOKUP(K200,Docentes_Lista!$A$2:$C$212,2,FALSE),"")</f>
        <v>0</v>
      </c>
      <c r="K200" s="4"/>
      <c r="L200" s="2">
        <f>IFERROR(VLOOKUP(K200,Docentes_Lista!$A$2:$C$212,3,FALSE),"")</f>
        <v>0</v>
      </c>
    </row>
    <row r="201" spans="1:12" ht="30" customHeight="1">
      <c r="A201" s="2">
        <v>200</v>
      </c>
      <c r="B201" s="3" t="s">
        <v>32</v>
      </c>
      <c r="C201" s="3" t="s">
        <v>284</v>
      </c>
      <c r="D201" s="4" t="s">
        <v>285</v>
      </c>
      <c r="E201" s="3" t="s">
        <v>21</v>
      </c>
      <c r="F201" s="3" t="s">
        <v>39</v>
      </c>
      <c r="G201" s="3" t="s">
        <v>36</v>
      </c>
      <c r="H201" s="4" t="s">
        <v>40</v>
      </c>
      <c r="I201" s="4" t="s">
        <v>106</v>
      </c>
      <c r="J201" s="5">
        <f>IFERROR(VLOOKUP(K201,Docentes_Lista!$A$2:$C$212,2,FALSE),"")</f>
        <v>0</v>
      </c>
      <c r="K201" s="4"/>
      <c r="L201" s="2">
        <f>IFERROR(VLOOKUP(K201,Docentes_Lista!$A$2:$C$212,3,FALSE),"")</f>
        <v>0</v>
      </c>
    </row>
    <row r="202" spans="1:12" ht="30" customHeight="1">
      <c r="A202" s="2">
        <v>201</v>
      </c>
      <c r="B202" s="3" t="s">
        <v>32</v>
      </c>
      <c r="C202" s="3" t="s">
        <v>284</v>
      </c>
      <c r="D202" s="4" t="s">
        <v>285</v>
      </c>
      <c r="E202" s="3" t="s">
        <v>41</v>
      </c>
      <c r="F202" s="3" t="s">
        <v>84</v>
      </c>
      <c r="G202" s="3" t="s">
        <v>43</v>
      </c>
      <c r="H202" s="4" t="s">
        <v>85</v>
      </c>
      <c r="I202" s="4" t="s">
        <v>106</v>
      </c>
      <c r="J202" s="5">
        <f>IFERROR(VLOOKUP(K202,Docentes_Lista!$A$2:$C$212,2,FALSE),"")</f>
        <v>0</v>
      </c>
      <c r="K202" s="4"/>
      <c r="L202" s="2">
        <f>IFERROR(VLOOKUP(K202,Docentes_Lista!$A$2:$C$212,3,FALSE),"")</f>
        <v>0</v>
      </c>
    </row>
    <row r="203" spans="1:12" ht="30" customHeight="1">
      <c r="A203" s="2">
        <v>202</v>
      </c>
      <c r="B203" s="3" t="s">
        <v>32</v>
      </c>
      <c r="C203" s="3" t="s">
        <v>286</v>
      </c>
      <c r="D203" s="4" t="s">
        <v>287</v>
      </c>
      <c r="E203" s="3" t="s">
        <v>15</v>
      </c>
      <c r="F203" s="3" t="s">
        <v>35</v>
      </c>
      <c r="G203" s="3" t="s">
        <v>36</v>
      </c>
      <c r="H203" s="4" t="s">
        <v>40</v>
      </c>
      <c r="I203" s="4" t="s">
        <v>106</v>
      </c>
      <c r="J203" s="5">
        <f>IFERROR(VLOOKUP(K203,Docentes_Lista!$A$2:$C$212,2,FALSE),"")</f>
        <v>0</v>
      </c>
      <c r="K203" s="4"/>
      <c r="L203" s="2">
        <f>IFERROR(VLOOKUP(K203,Docentes_Lista!$A$2:$C$212,3,FALSE),"")</f>
        <v>0</v>
      </c>
    </row>
    <row r="204" spans="1:12" ht="30" customHeight="1">
      <c r="A204" s="2">
        <v>203</v>
      </c>
      <c r="B204" s="3" t="s">
        <v>32</v>
      </c>
      <c r="C204" s="3" t="s">
        <v>286</v>
      </c>
      <c r="D204" s="4" t="s">
        <v>287</v>
      </c>
      <c r="E204" s="3" t="s">
        <v>21</v>
      </c>
      <c r="F204" s="3" t="s">
        <v>39</v>
      </c>
      <c r="G204" s="3" t="s">
        <v>36</v>
      </c>
      <c r="H204" s="4" t="s">
        <v>40</v>
      </c>
      <c r="I204" s="4" t="s">
        <v>106</v>
      </c>
      <c r="J204" s="5">
        <f>IFERROR(VLOOKUP(K204,Docentes_Lista!$A$2:$C$212,2,FALSE),"")</f>
        <v>0</v>
      </c>
      <c r="K204" s="4"/>
      <c r="L204" s="2">
        <f>IFERROR(VLOOKUP(K204,Docentes_Lista!$A$2:$C$212,3,FALSE),"")</f>
        <v>0</v>
      </c>
    </row>
    <row r="205" spans="1:12" ht="30" customHeight="1">
      <c r="A205" s="2">
        <v>204</v>
      </c>
      <c r="B205" s="3" t="s">
        <v>32</v>
      </c>
      <c r="C205" s="3" t="s">
        <v>286</v>
      </c>
      <c r="D205" s="4" t="s">
        <v>287</v>
      </c>
      <c r="E205" s="3" t="s">
        <v>41</v>
      </c>
      <c r="F205" s="3" t="s">
        <v>119</v>
      </c>
      <c r="G205" s="3" t="s">
        <v>43</v>
      </c>
      <c r="H205" s="4" t="s">
        <v>85</v>
      </c>
      <c r="I205" s="4" t="s">
        <v>106</v>
      </c>
      <c r="J205" s="5">
        <f>IFERROR(VLOOKUP(K205,Docentes_Lista!$A$2:$C$212,2,FALSE),"")</f>
        <v>0</v>
      </c>
      <c r="K205" s="4"/>
      <c r="L205" s="2">
        <f>IFERROR(VLOOKUP(K205,Docentes_Lista!$A$2:$C$212,3,FALSE),"")</f>
        <v>0</v>
      </c>
    </row>
    <row r="206" spans="1:12" ht="30" customHeight="1">
      <c r="A206" s="2">
        <v>205</v>
      </c>
      <c r="B206" s="3" t="s">
        <v>32</v>
      </c>
      <c r="C206" s="3" t="s">
        <v>286</v>
      </c>
      <c r="D206" s="4" t="s">
        <v>287</v>
      </c>
      <c r="E206" s="3" t="s">
        <v>50</v>
      </c>
      <c r="F206" s="3" t="s">
        <v>84</v>
      </c>
      <c r="G206" s="3" t="s">
        <v>43</v>
      </c>
      <c r="H206" s="4" t="s">
        <v>85</v>
      </c>
      <c r="I206" s="4" t="s">
        <v>106</v>
      </c>
      <c r="J206" s="5">
        <f>IFERROR(VLOOKUP(K206,Docentes_Lista!$A$2:$C$212,2,FALSE),"")</f>
        <v>0</v>
      </c>
      <c r="K206" s="4"/>
      <c r="L206" s="2">
        <f>IFERROR(VLOOKUP(K206,Docentes_Lista!$A$2:$C$212,3,FALSE),"")</f>
        <v>0</v>
      </c>
    </row>
    <row r="207" spans="1:12" ht="30" customHeight="1">
      <c r="A207" s="2">
        <v>206</v>
      </c>
      <c r="B207" s="3" t="s">
        <v>32</v>
      </c>
      <c r="C207" s="3" t="s">
        <v>288</v>
      </c>
      <c r="D207" s="4" t="s">
        <v>289</v>
      </c>
      <c r="E207" s="3" t="s">
        <v>15</v>
      </c>
      <c r="F207" s="3" t="s">
        <v>35</v>
      </c>
      <c r="G207" s="3" t="s">
        <v>36</v>
      </c>
      <c r="H207" s="4" t="s">
        <v>40</v>
      </c>
      <c r="I207" s="4" t="s">
        <v>106</v>
      </c>
      <c r="J207" s="5">
        <f>IFERROR(VLOOKUP(K207,Docentes_Lista!$A$2:$C$212,2,FALSE),"")</f>
        <v>0</v>
      </c>
      <c r="K207" s="4"/>
      <c r="L207" s="2">
        <f>IFERROR(VLOOKUP(K207,Docentes_Lista!$A$2:$C$212,3,FALSE),"")</f>
        <v>0</v>
      </c>
    </row>
    <row r="208" spans="1:12" ht="30" customHeight="1">
      <c r="A208" s="2">
        <v>207</v>
      </c>
      <c r="B208" s="3" t="s">
        <v>32</v>
      </c>
      <c r="C208" s="3" t="s">
        <v>288</v>
      </c>
      <c r="D208" s="4" t="s">
        <v>289</v>
      </c>
      <c r="E208" s="3" t="s">
        <v>21</v>
      </c>
      <c r="F208" s="3" t="s">
        <v>290</v>
      </c>
      <c r="G208" s="3" t="s">
        <v>36</v>
      </c>
      <c r="H208" s="4" t="s">
        <v>40</v>
      </c>
      <c r="I208" s="4" t="s">
        <v>106</v>
      </c>
      <c r="J208" s="5">
        <f>IFERROR(VLOOKUP(K208,Docentes_Lista!$A$2:$C$212,2,FALSE),"")</f>
        <v>0</v>
      </c>
      <c r="K208" s="4"/>
      <c r="L208" s="2">
        <f>IFERROR(VLOOKUP(K208,Docentes_Lista!$A$2:$C$212,3,FALSE),"")</f>
        <v>0</v>
      </c>
    </row>
    <row r="209" spans="1:12" ht="30" customHeight="1">
      <c r="A209" s="2">
        <v>208</v>
      </c>
      <c r="B209" s="3" t="s">
        <v>32</v>
      </c>
      <c r="C209" s="3" t="s">
        <v>288</v>
      </c>
      <c r="D209" s="4" t="s">
        <v>289</v>
      </c>
      <c r="E209" s="3" t="s">
        <v>41</v>
      </c>
      <c r="F209" s="3" t="s">
        <v>119</v>
      </c>
      <c r="G209" s="3" t="s">
        <v>43</v>
      </c>
      <c r="H209" s="4" t="s">
        <v>85</v>
      </c>
      <c r="I209" s="4" t="s">
        <v>106</v>
      </c>
      <c r="J209" s="5">
        <f>IFERROR(VLOOKUP(K209,Docentes_Lista!$A$2:$C$212,2,FALSE),"")</f>
        <v>0</v>
      </c>
      <c r="K209" s="4"/>
      <c r="L209" s="2">
        <f>IFERROR(VLOOKUP(K209,Docentes_Lista!$A$2:$C$212,3,FALSE),"")</f>
        <v>0</v>
      </c>
    </row>
    <row r="210" spans="1:12" ht="30" customHeight="1">
      <c r="A210" s="2">
        <v>209</v>
      </c>
      <c r="B210" s="3" t="s">
        <v>12</v>
      </c>
      <c r="C210" s="3" t="s">
        <v>291</v>
      </c>
      <c r="D210" s="4" t="s">
        <v>292</v>
      </c>
      <c r="E210" s="3" t="s">
        <v>15</v>
      </c>
      <c r="F210" s="3" t="s">
        <v>107</v>
      </c>
      <c r="G210" s="3" t="s">
        <v>36</v>
      </c>
      <c r="H210" s="4" t="s">
        <v>40</v>
      </c>
      <c r="I210" s="4" t="s">
        <v>106</v>
      </c>
      <c r="J210" s="5">
        <f>IFERROR(VLOOKUP(K210,Docentes_Lista!$A$2:$C$212,2,FALSE),"")</f>
        <v>0</v>
      </c>
      <c r="K210" s="4"/>
      <c r="L210" s="2">
        <f>IFERROR(VLOOKUP(K210,Docentes_Lista!$A$2:$C$212,3,FALSE),"")</f>
        <v>0</v>
      </c>
    </row>
    <row r="211" spans="1:12" ht="30" customHeight="1">
      <c r="A211" s="2">
        <v>210</v>
      </c>
      <c r="B211" s="3" t="s">
        <v>12</v>
      </c>
      <c r="C211" s="3" t="s">
        <v>291</v>
      </c>
      <c r="D211" s="4" t="s">
        <v>292</v>
      </c>
      <c r="E211" s="3" t="s">
        <v>21</v>
      </c>
      <c r="F211" s="3" t="s">
        <v>108</v>
      </c>
      <c r="G211" s="3" t="s">
        <v>36</v>
      </c>
      <c r="H211" s="4" t="s">
        <v>40</v>
      </c>
      <c r="I211" s="4" t="s">
        <v>38</v>
      </c>
      <c r="J211" s="5">
        <f>IFERROR(VLOOKUP(K211,Docentes_Lista!$A$2:$C$212,2,FALSE),"")</f>
        <v>0</v>
      </c>
      <c r="K211" s="4"/>
      <c r="L211" s="2">
        <f>IFERROR(VLOOKUP(K211,Docentes_Lista!$A$2:$C$212,3,FALSE),"")</f>
        <v>0</v>
      </c>
    </row>
    <row r="212" spans="1:12" ht="30" customHeight="1">
      <c r="A212" s="2">
        <v>211</v>
      </c>
      <c r="B212" s="3" t="s">
        <v>32</v>
      </c>
      <c r="C212" s="3" t="s">
        <v>293</v>
      </c>
      <c r="D212" s="4" t="s">
        <v>294</v>
      </c>
      <c r="E212" s="3" t="s">
        <v>15</v>
      </c>
      <c r="F212" s="3" t="s">
        <v>105</v>
      </c>
      <c r="G212" s="3" t="s">
        <v>36</v>
      </c>
      <c r="H212" s="4" t="s">
        <v>40</v>
      </c>
      <c r="I212" s="4" t="s">
        <v>38</v>
      </c>
      <c r="J212" s="5">
        <f>IFERROR(VLOOKUP(K212,Docentes_Lista!$A$2:$C$212,2,FALSE),"")</f>
        <v>0</v>
      </c>
      <c r="K212" s="4"/>
      <c r="L212" s="2">
        <f>IFERROR(VLOOKUP(K212,Docentes_Lista!$A$2:$C$212,3,FALSE),"")</f>
        <v>0</v>
      </c>
    </row>
    <row r="213" spans="1:12" ht="30" customHeight="1">
      <c r="A213" s="2">
        <v>212</v>
      </c>
      <c r="B213" s="3" t="s">
        <v>32</v>
      </c>
      <c r="C213" s="3" t="s">
        <v>293</v>
      </c>
      <c r="D213" s="4" t="s">
        <v>294</v>
      </c>
      <c r="E213" s="3" t="s">
        <v>21</v>
      </c>
      <c r="F213" s="3" t="s">
        <v>108</v>
      </c>
      <c r="G213" s="3" t="s">
        <v>36</v>
      </c>
      <c r="H213" s="4" t="s">
        <v>40</v>
      </c>
      <c r="I213" s="4" t="s">
        <v>38</v>
      </c>
      <c r="J213" s="5">
        <f>IFERROR(VLOOKUP(K213,Docentes_Lista!$A$2:$C$212,2,FALSE),"")</f>
        <v>0</v>
      </c>
      <c r="K213" s="4"/>
      <c r="L213" s="2">
        <f>IFERROR(VLOOKUP(K213,Docentes_Lista!$A$2:$C$212,3,FALSE),"")</f>
        <v>0</v>
      </c>
    </row>
    <row r="214" spans="1:12" ht="30" customHeight="1">
      <c r="A214" s="2">
        <v>213</v>
      </c>
      <c r="B214" s="3" t="s">
        <v>32</v>
      </c>
      <c r="C214" s="3" t="s">
        <v>293</v>
      </c>
      <c r="D214" s="4" t="s">
        <v>294</v>
      </c>
      <c r="E214" s="3" t="s">
        <v>41</v>
      </c>
      <c r="F214" s="3" t="s">
        <v>84</v>
      </c>
      <c r="G214" s="3" t="s">
        <v>43</v>
      </c>
      <c r="H214" s="4" t="s">
        <v>85</v>
      </c>
      <c r="I214" s="4" t="s">
        <v>38</v>
      </c>
      <c r="J214" s="5">
        <f>IFERROR(VLOOKUP(K214,Docentes_Lista!$A$2:$C$212,2,FALSE),"")</f>
        <v>0</v>
      </c>
      <c r="K214" s="4"/>
      <c r="L214" s="2">
        <f>IFERROR(VLOOKUP(K214,Docentes_Lista!$A$2:$C$212,3,FALSE),"")</f>
        <v>0</v>
      </c>
    </row>
    <row r="215" spans="1:12" ht="30" customHeight="1">
      <c r="A215" s="2">
        <v>214</v>
      </c>
      <c r="B215" s="3" t="s">
        <v>12</v>
      </c>
      <c r="C215" s="3" t="s">
        <v>295</v>
      </c>
      <c r="D215" s="4" t="s">
        <v>296</v>
      </c>
      <c r="E215" s="3" t="s">
        <v>15</v>
      </c>
      <c r="F215" s="3" t="s">
        <v>35</v>
      </c>
      <c r="G215" s="3" t="s">
        <v>36</v>
      </c>
      <c r="H215" s="4" t="s">
        <v>244</v>
      </c>
      <c r="I215" s="4" t="s">
        <v>38</v>
      </c>
      <c r="J215" s="5">
        <f>IFERROR(VLOOKUP(K215,Docentes_Lista!$A$2:$C$212,2,FALSE),"")</f>
        <v>0</v>
      </c>
      <c r="K215" s="4"/>
      <c r="L215" s="2">
        <f>IFERROR(VLOOKUP(K215,Docentes_Lista!$A$2:$C$212,3,FALSE),"")</f>
        <v>0</v>
      </c>
    </row>
    <row r="216" spans="1:12" ht="30" customHeight="1">
      <c r="A216" s="2">
        <v>215</v>
      </c>
      <c r="B216" s="3" t="s">
        <v>148</v>
      </c>
      <c r="C216" s="3" t="s">
        <v>297</v>
      </c>
      <c r="D216" s="4" t="s">
        <v>298</v>
      </c>
      <c r="E216" s="3" t="s">
        <v>15</v>
      </c>
      <c r="F216" s="3" t="s">
        <v>39</v>
      </c>
      <c r="G216" s="3" t="s">
        <v>36</v>
      </c>
      <c r="H216" s="4" t="s">
        <v>40</v>
      </c>
      <c r="I216" s="4" t="s">
        <v>38</v>
      </c>
      <c r="J216" s="5">
        <f>IFERROR(VLOOKUP(K216,Docentes_Lista!$A$2:$C$212,2,FALSE),"")</f>
        <v>0</v>
      </c>
      <c r="K216" s="4"/>
      <c r="L216" s="2">
        <f>IFERROR(VLOOKUP(K216,Docentes_Lista!$A$2:$C$212,3,FALSE),"")</f>
        <v>0</v>
      </c>
    </row>
    <row r="217" spans="1:12" ht="30" customHeight="1">
      <c r="A217" s="2">
        <v>216</v>
      </c>
      <c r="B217" s="3" t="s">
        <v>148</v>
      </c>
      <c r="C217" s="3" t="s">
        <v>299</v>
      </c>
      <c r="D217" s="4" t="s">
        <v>300</v>
      </c>
      <c r="E217" s="3" t="s">
        <v>15</v>
      </c>
      <c r="F217" s="3" t="s">
        <v>108</v>
      </c>
      <c r="G217" s="3" t="s">
        <v>36</v>
      </c>
      <c r="H217" s="4" t="s">
        <v>40</v>
      </c>
      <c r="I217" s="4" t="s">
        <v>106</v>
      </c>
      <c r="J217" s="5">
        <f>IFERROR(VLOOKUP(K217,Docentes_Lista!$A$2:$C$212,2,FALSE),"")</f>
        <v>0</v>
      </c>
      <c r="K217" s="4"/>
      <c r="L217" s="2">
        <f>IFERROR(VLOOKUP(K217,Docentes_Lista!$A$2:$C$212,3,FALSE),"")</f>
        <v>0</v>
      </c>
    </row>
    <row r="218" spans="1:12" ht="30" customHeight="1">
      <c r="A218" s="2">
        <v>217</v>
      </c>
      <c r="B218" s="3" t="s">
        <v>148</v>
      </c>
      <c r="C218" s="3" t="s">
        <v>299</v>
      </c>
      <c r="D218" s="4" t="s">
        <v>300</v>
      </c>
      <c r="E218" s="3" t="s">
        <v>15</v>
      </c>
      <c r="F218" s="3" t="s">
        <v>35</v>
      </c>
      <c r="G218" s="3" t="s">
        <v>36</v>
      </c>
      <c r="H218" s="4" t="s">
        <v>49</v>
      </c>
      <c r="I218" s="4" t="s">
        <v>106</v>
      </c>
      <c r="J218" s="5">
        <f>IFERROR(VLOOKUP(K218,Docentes_Lista!$A$2:$C$212,2,FALSE),"")</f>
        <v>0</v>
      </c>
      <c r="K218" s="4"/>
      <c r="L218" s="2">
        <f>IFERROR(VLOOKUP(K218,Docentes_Lista!$A$2:$C$212,3,FALSE),"")</f>
        <v>0</v>
      </c>
    </row>
    <row r="219" spans="1:12" ht="30" customHeight="1">
      <c r="A219" s="2">
        <v>218</v>
      </c>
      <c r="B219" s="3" t="s">
        <v>148</v>
      </c>
      <c r="C219" s="3" t="s">
        <v>301</v>
      </c>
      <c r="D219" s="4" t="s">
        <v>302</v>
      </c>
      <c r="E219" s="3" t="s">
        <v>15</v>
      </c>
      <c r="F219" s="3" t="s">
        <v>108</v>
      </c>
      <c r="G219" s="3" t="s">
        <v>36</v>
      </c>
      <c r="H219" s="4" t="s">
        <v>40</v>
      </c>
      <c r="I219" s="4" t="s">
        <v>106</v>
      </c>
      <c r="J219" s="5">
        <f>IFERROR(VLOOKUP(K219,Docentes_Lista!$A$2:$C$212,2,FALSE),"")</f>
        <v>0</v>
      </c>
      <c r="K219" s="4"/>
      <c r="L219" s="2">
        <f>IFERROR(VLOOKUP(K219,Docentes_Lista!$A$2:$C$212,3,FALSE),"")</f>
        <v>0</v>
      </c>
    </row>
    <row r="220" spans="1:12" ht="30" customHeight="1">
      <c r="A220" s="2">
        <v>219</v>
      </c>
      <c r="B220" s="3" t="s">
        <v>148</v>
      </c>
      <c r="C220" s="3" t="s">
        <v>303</v>
      </c>
      <c r="D220" s="4" t="s">
        <v>304</v>
      </c>
      <c r="E220" s="3" t="s">
        <v>15</v>
      </c>
      <c r="F220" s="3" t="s">
        <v>35</v>
      </c>
      <c r="G220" s="3" t="s">
        <v>36</v>
      </c>
      <c r="H220" s="4" t="s">
        <v>40</v>
      </c>
      <c r="I220" s="4" t="s">
        <v>38</v>
      </c>
      <c r="J220" s="5">
        <f>IFERROR(VLOOKUP(K220,Docentes_Lista!$A$2:$C$212,2,FALSE),"")</f>
        <v>0</v>
      </c>
      <c r="K220" s="4"/>
      <c r="L220" s="2">
        <f>IFERROR(VLOOKUP(K220,Docentes_Lista!$A$2:$C$212,3,FALSE),"")</f>
        <v>0</v>
      </c>
    </row>
    <row r="221" spans="1:12" ht="30" customHeight="1">
      <c r="A221" s="2">
        <v>220</v>
      </c>
      <c r="B221" s="3" t="s">
        <v>148</v>
      </c>
      <c r="C221" s="3" t="s">
        <v>305</v>
      </c>
      <c r="D221" s="4" t="s">
        <v>306</v>
      </c>
      <c r="E221" s="3" t="s">
        <v>15</v>
      </c>
      <c r="F221" s="3" t="s">
        <v>39</v>
      </c>
      <c r="G221" s="3" t="s">
        <v>36</v>
      </c>
      <c r="H221" s="4" t="s">
        <v>40</v>
      </c>
      <c r="I221" s="4" t="s">
        <v>38</v>
      </c>
      <c r="J221" s="5">
        <f>IFERROR(VLOOKUP(K221,Docentes_Lista!$A$2:$C$212,2,FALSE),"")</f>
        <v>0</v>
      </c>
      <c r="K221" s="4"/>
      <c r="L221" s="2">
        <f>IFERROR(VLOOKUP(K221,Docentes_Lista!$A$2:$C$212,3,FALSE),"")</f>
        <v>0</v>
      </c>
    </row>
    <row r="222" spans="1:12" ht="30" customHeight="1">
      <c r="A222" s="2">
        <v>221</v>
      </c>
      <c r="B222" s="3" t="s">
        <v>148</v>
      </c>
      <c r="C222" s="3" t="s">
        <v>307</v>
      </c>
      <c r="D222" s="4" t="s">
        <v>308</v>
      </c>
      <c r="E222" s="3" t="s">
        <v>15</v>
      </c>
      <c r="F222" s="3" t="s">
        <v>108</v>
      </c>
      <c r="G222" s="3" t="s">
        <v>36</v>
      </c>
      <c r="H222" s="4" t="s">
        <v>40</v>
      </c>
      <c r="I222" s="4" t="s">
        <v>106</v>
      </c>
      <c r="J222" s="5">
        <f>IFERROR(VLOOKUP(K222,Docentes_Lista!$A$2:$C$212,2,FALSE),"")</f>
        <v>0</v>
      </c>
      <c r="K222" s="4"/>
      <c r="L222" s="2">
        <f>IFERROR(VLOOKUP(K222,Docentes_Lista!$A$2:$C$212,3,FALSE),"")</f>
        <v>0</v>
      </c>
    </row>
    <row r="223" spans="1:12" ht="30" customHeight="1">
      <c r="A223" s="2">
        <v>222</v>
      </c>
      <c r="B223" s="3" t="s">
        <v>148</v>
      </c>
      <c r="C223" s="3" t="s">
        <v>307</v>
      </c>
      <c r="D223" s="4" t="s">
        <v>308</v>
      </c>
      <c r="E223" s="3" t="s">
        <v>21</v>
      </c>
      <c r="F223" s="3" t="s">
        <v>119</v>
      </c>
      <c r="G223" s="3" t="s">
        <v>43</v>
      </c>
      <c r="H223" s="4" t="s">
        <v>85</v>
      </c>
      <c r="I223" s="4" t="s">
        <v>106</v>
      </c>
      <c r="J223" s="5">
        <f>IFERROR(VLOOKUP(K223,Docentes_Lista!$A$2:$C$212,2,FALSE),"")</f>
        <v>0</v>
      </c>
      <c r="K223" s="4"/>
      <c r="L223" s="2">
        <f>IFERROR(VLOOKUP(K223,Docentes_Lista!$A$2:$C$212,3,FALSE),"")</f>
        <v>0</v>
      </c>
    </row>
    <row r="224" spans="1:12" ht="30" customHeight="1">
      <c r="A224" s="2">
        <v>223</v>
      </c>
      <c r="B224" s="3" t="s">
        <v>153</v>
      </c>
      <c r="C224" s="3" t="s">
        <v>309</v>
      </c>
      <c r="D224" s="4" t="s">
        <v>310</v>
      </c>
      <c r="E224" s="3" t="s">
        <v>15</v>
      </c>
      <c r="F224" s="3" t="s">
        <v>108</v>
      </c>
      <c r="G224" s="3" t="s">
        <v>36</v>
      </c>
      <c r="H224" s="4" t="s">
        <v>40</v>
      </c>
      <c r="I224" s="4" t="s">
        <v>38</v>
      </c>
      <c r="J224" s="5">
        <f>IFERROR(VLOOKUP(K224,Docentes_Lista!$A$2:$C$212,2,FALSE),"")</f>
        <v>0</v>
      </c>
      <c r="K224" s="4"/>
      <c r="L224" s="2">
        <f>IFERROR(VLOOKUP(K224,Docentes_Lista!$A$2:$C$212,3,FALSE),"")</f>
        <v>0</v>
      </c>
    </row>
    <row r="225" spans="1:12" ht="30" customHeight="1">
      <c r="A225" s="2">
        <v>224</v>
      </c>
      <c r="B225" s="3" t="s">
        <v>153</v>
      </c>
      <c r="C225" s="3" t="s">
        <v>311</v>
      </c>
      <c r="D225" s="4" t="s">
        <v>312</v>
      </c>
      <c r="E225" s="3" t="s">
        <v>15</v>
      </c>
      <c r="F225" s="3" t="s">
        <v>313</v>
      </c>
      <c r="G225" s="3" t="s">
        <v>314</v>
      </c>
      <c r="H225" s="4" t="s">
        <v>40</v>
      </c>
      <c r="I225" s="4" t="s">
        <v>38</v>
      </c>
      <c r="J225" s="5">
        <f>IFERROR(VLOOKUP(K225,Docentes_Lista!$A$2:$C$212,2,FALSE),"")</f>
        <v>0</v>
      </c>
      <c r="K225" s="4"/>
      <c r="L225" s="2">
        <f>IFERROR(VLOOKUP(K225,Docentes_Lista!$A$2:$C$212,3,FALSE),"")</f>
        <v>0</v>
      </c>
    </row>
    <row r="226" spans="1:12" ht="30" customHeight="1">
      <c r="A226" s="2">
        <v>225</v>
      </c>
      <c r="B226" s="3" t="s">
        <v>153</v>
      </c>
      <c r="C226" s="3" t="s">
        <v>315</v>
      </c>
      <c r="D226" s="4" t="s">
        <v>14</v>
      </c>
      <c r="E226" s="3" t="s">
        <v>15</v>
      </c>
      <c r="F226" s="3" t="s">
        <v>35</v>
      </c>
      <c r="G226" s="3" t="s">
        <v>36</v>
      </c>
      <c r="H226" s="4" t="s">
        <v>40</v>
      </c>
      <c r="I226" s="4" t="s">
        <v>106</v>
      </c>
      <c r="J226" s="5">
        <f>IFERROR(VLOOKUP(K226,Docentes_Lista!$A$2:$C$212,2,FALSE),"")</f>
        <v>0</v>
      </c>
      <c r="K226" s="4"/>
      <c r="L226" s="2">
        <f>IFERROR(VLOOKUP(K226,Docentes_Lista!$A$2:$C$212,3,FALSE),"")</f>
        <v>0</v>
      </c>
    </row>
    <row r="227" spans="1:12" ht="30" customHeight="1">
      <c r="A227" s="2">
        <v>226</v>
      </c>
      <c r="B227" s="3" t="s">
        <v>153</v>
      </c>
      <c r="C227" s="3" t="s">
        <v>316</v>
      </c>
      <c r="D227" s="4" t="s">
        <v>317</v>
      </c>
      <c r="E227" s="3" t="s">
        <v>15</v>
      </c>
      <c r="F227" s="3" t="s">
        <v>105</v>
      </c>
      <c r="G227" s="3" t="s">
        <v>36</v>
      </c>
      <c r="H227" s="4" t="s">
        <v>40</v>
      </c>
      <c r="I227" s="4" t="s">
        <v>106</v>
      </c>
      <c r="J227" s="5">
        <f>IFERROR(VLOOKUP(K227,Docentes_Lista!$A$2:$C$212,2,FALSE),"")</f>
        <v>0</v>
      </c>
      <c r="K227" s="4"/>
      <c r="L227" s="2">
        <f>IFERROR(VLOOKUP(K227,Docentes_Lista!$A$2:$C$212,3,FALSE),"")</f>
        <v>0</v>
      </c>
    </row>
    <row r="228" spans="1:12" ht="30" customHeight="1">
      <c r="A228" s="2">
        <v>227</v>
      </c>
      <c r="B228" s="3" t="s">
        <v>153</v>
      </c>
      <c r="C228" s="3" t="s">
        <v>316</v>
      </c>
      <c r="D228" s="4" t="s">
        <v>317</v>
      </c>
      <c r="E228" s="3" t="s">
        <v>21</v>
      </c>
      <c r="F228" s="3" t="s">
        <v>83</v>
      </c>
      <c r="G228" s="3" t="s">
        <v>43</v>
      </c>
      <c r="H228" s="4" t="s">
        <v>44</v>
      </c>
      <c r="I228" s="4" t="s">
        <v>106</v>
      </c>
      <c r="J228" s="5">
        <f>IFERROR(VLOOKUP(K228,Docentes_Lista!$A$2:$C$212,2,FALSE),"")</f>
        <v>0</v>
      </c>
      <c r="K228" s="4"/>
      <c r="L228" s="2">
        <f>IFERROR(VLOOKUP(K228,Docentes_Lista!$A$2:$C$212,3,FALSE),"")</f>
        <v>0</v>
      </c>
    </row>
    <row r="229" spans="1:12" ht="30" customHeight="1">
      <c r="A229" s="2">
        <v>228</v>
      </c>
      <c r="B229" s="3" t="s">
        <v>148</v>
      </c>
      <c r="C229" s="3" t="s">
        <v>318</v>
      </c>
      <c r="D229" s="4" t="s">
        <v>319</v>
      </c>
      <c r="E229" s="3" t="s">
        <v>15</v>
      </c>
      <c r="F229" s="3" t="s">
        <v>75</v>
      </c>
      <c r="G229" s="3" t="s">
        <v>36</v>
      </c>
      <c r="H229" s="4" t="s">
        <v>40</v>
      </c>
      <c r="I229" s="4" t="s">
        <v>38</v>
      </c>
      <c r="J229" s="5">
        <f>IFERROR(VLOOKUP(K229,Docentes_Lista!$A$2:$C$212,2,FALSE),"")</f>
        <v>0</v>
      </c>
      <c r="K229" s="4"/>
      <c r="L229" s="2">
        <f>IFERROR(VLOOKUP(K229,Docentes_Lista!$A$2:$C$212,3,FALSE),"")</f>
        <v>0</v>
      </c>
    </row>
    <row r="230" spans="1:12" ht="30" customHeight="1">
      <c r="A230" s="2">
        <v>229</v>
      </c>
      <c r="B230" s="3" t="s">
        <v>153</v>
      </c>
      <c r="C230" s="3" t="s">
        <v>320</v>
      </c>
      <c r="D230" s="4" t="s">
        <v>321</v>
      </c>
      <c r="E230" s="3" t="s">
        <v>15</v>
      </c>
      <c r="F230" s="3" t="s">
        <v>35</v>
      </c>
      <c r="G230" s="3" t="s">
        <v>36</v>
      </c>
      <c r="H230" s="4" t="s">
        <v>40</v>
      </c>
      <c r="I230" s="4" t="s">
        <v>38</v>
      </c>
      <c r="J230" s="5">
        <f>IFERROR(VLOOKUP(K230,Docentes_Lista!$A$2:$C$212,2,FALSE),"")</f>
        <v>0</v>
      </c>
      <c r="K230" s="4"/>
      <c r="L230" s="2">
        <f>IFERROR(VLOOKUP(K230,Docentes_Lista!$A$2:$C$212,3,FALSE),"")</f>
        <v>0</v>
      </c>
    </row>
    <row r="231" spans="1:12" ht="30" customHeight="1">
      <c r="A231" s="2">
        <v>230</v>
      </c>
      <c r="B231" s="3" t="s">
        <v>148</v>
      </c>
      <c r="C231" s="3" t="s">
        <v>322</v>
      </c>
      <c r="D231" s="4" t="s">
        <v>323</v>
      </c>
      <c r="E231" s="3" t="s">
        <v>15</v>
      </c>
      <c r="F231" s="3" t="s">
        <v>35</v>
      </c>
      <c r="G231" s="3" t="s">
        <v>36</v>
      </c>
      <c r="H231" s="4" t="s">
        <v>40</v>
      </c>
      <c r="I231" s="4" t="s">
        <v>106</v>
      </c>
      <c r="J231" s="5">
        <f>IFERROR(VLOOKUP(K231,Docentes_Lista!$A$2:$C$212,2,FALSE),"")</f>
        <v>0</v>
      </c>
      <c r="K231" s="4"/>
      <c r="L231" s="2">
        <f>IFERROR(VLOOKUP(K231,Docentes_Lista!$A$2:$C$212,3,FALSE),"")</f>
        <v>0</v>
      </c>
    </row>
    <row r="232" spans="1:12" ht="30" customHeight="1">
      <c r="A232" s="2">
        <v>231</v>
      </c>
      <c r="B232" s="3" t="s">
        <v>148</v>
      </c>
      <c r="C232" s="3" t="s">
        <v>324</v>
      </c>
      <c r="D232" s="4" t="s">
        <v>325</v>
      </c>
      <c r="E232" s="3" t="s">
        <v>15</v>
      </c>
      <c r="F232" s="3" t="s">
        <v>35</v>
      </c>
      <c r="G232" s="3" t="s">
        <v>36</v>
      </c>
      <c r="H232" s="4" t="s">
        <v>40</v>
      </c>
      <c r="I232" s="4" t="s">
        <v>106</v>
      </c>
      <c r="J232" s="5">
        <f>IFERROR(VLOOKUP(K232,Docentes_Lista!$A$2:$C$212,2,FALSE),"")</f>
        <v>0</v>
      </c>
      <c r="K232" s="4"/>
      <c r="L232" s="2">
        <f>IFERROR(VLOOKUP(K232,Docentes_Lista!$A$2:$C$212,3,FALSE),"")</f>
        <v>0</v>
      </c>
    </row>
    <row r="233" spans="1:12" ht="30" customHeight="1">
      <c r="A233" s="2">
        <v>232</v>
      </c>
      <c r="B233" s="3" t="s">
        <v>148</v>
      </c>
      <c r="C233" s="3" t="s">
        <v>326</v>
      </c>
      <c r="D233" s="4" t="s">
        <v>327</v>
      </c>
      <c r="E233" s="3" t="s">
        <v>21</v>
      </c>
      <c r="F233" s="3" t="s">
        <v>39</v>
      </c>
      <c r="G233" s="3" t="s">
        <v>36</v>
      </c>
      <c r="H233" s="4" t="s">
        <v>40</v>
      </c>
      <c r="I233" s="4" t="s">
        <v>106</v>
      </c>
      <c r="J233" s="5">
        <f>IFERROR(VLOOKUP(K233,Docentes_Lista!$A$2:$C$212,2,FALSE),"")</f>
        <v>0</v>
      </c>
      <c r="K233" s="4"/>
      <c r="L233" s="2">
        <f>IFERROR(VLOOKUP(K233,Docentes_Lista!$A$2:$C$212,3,FALSE),"")</f>
        <v>0</v>
      </c>
    </row>
    <row r="234" spans="1:12" ht="30" customHeight="1">
      <c r="A234" s="2">
        <v>233</v>
      </c>
      <c r="B234" s="3" t="s">
        <v>148</v>
      </c>
      <c r="C234" s="3" t="s">
        <v>326</v>
      </c>
      <c r="D234" s="4" t="s">
        <v>327</v>
      </c>
      <c r="E234" s="3" t="s">
        <v>15</v>
      </c>
      <c r="F234" s="3" t="s">
        <v>105</v>
      </c>
      <c r="G234" s="3" t="s">
        <v>36</v>
      </c>
      <c r="H234" s="4" t="s">
        <v>49</v>
      </c>
      <c r="I234" s="4" t="s">
        <v>106</v>
      </c>
      <c r="J234" s="5">
        <f>IFERROR(VLOOKUP(K234,Docentes_Lista!$A$2:$C$212,2,FALSE),"")</f>
        <v>0</v>
      </c>
      <c r="K234" s="4"/>
      <c r="L234" s="2">
        <f>IFERROR(VLOOKUP(K234,Docentes_Lista!$A$2:$C$212,3,FALSE),"")</f>
        <v>0</v>
      </c>
    </row>
    <row r="235" spans="1:12" ht="30" customHeight="1">
      <c r="A235" s="2">
        <v>234</v>
      </c>
      <c r="B235" s="3" t="s">
        <v>148</v>
      </c>
      <c r="C235" s="3" t="s">
        <v>326</v>
      </c>
      <c r="D235" s="4" t="s">
        <v>327</v>
      </c>
      <c r="E235" s="3" t="s">
        <v>41</v>
      </c>
      <c r="F235" s="3" t="s">
        <v>83</v>
      </c>
      <c r="G235" s="3" t="s">
        <v>43</v>
      </c>
      <c r="H235" s="4" t="s">
        <v>44</v>
      </c>
      <c r="I235" s="4" t="s">
        <v>106</v>
      </c>
      <c r="J235" s="5">
        <f>IFERROR(VLOOKUP(K235,Docentes_Lista!$A$2:$C$212,2,FALSE),"")</f>
        <v>0</v>
      </c>
      <c r="K235" s="4"/>
      <c r="L235" s="2">
        <f>IFERROR(VLOOKUP(K235,Docentes_Lista!$A$2:$C$212,3,FALSE),"")</f>
        <v>0</v>
      </c>
    </row>
    <row r="236" spans="1:12" ht="30" customHeight="1">
      <c r="A236" s="2">
        <v>235</v>
      </c>
      <c r="B236" s="3" t="s">
        <v>12</v>
      </c>
      <c r="C236" s="3" t="s">
        <v>328</v>
      </c>
      <c r="D236" s="4" t="s">
        <v>329</v>
      </c>
      <c r="E236" s="3" t="s">
        <v>15</v>
      </c>
      <c r="F236" s="3" t="s">
        <v>35</v>
      </c>
      <c r="G236" s="3" t="s">
        <v>36</v>
      </c>
      <c r="H236" s="4" t="s">
        <v>49</v>
      </c>
      <c r="I236" s="4" t="s">
        <v>106</v>
      </c>
      <c r="J236" s="5">
        <f>IFERROR(VLOOKUP(K236,Docentes_Lista!$A$2:$C$212,2,FALSE),"")</f>
        <v>0</v>
      </c>
      <c r="K236" s="4"/>
      <c r="L236" s="2">
        <f>IFERROR(VLOOKUP(K236,Docentes_Lista!$A$2:$C$212,3,FALSE),"")</f>
        <v>0</v>
      </c>
    </row>
    <row r="237" spans="1:12" ht="30" customHeight="1">
      <c r="A237" s="2">
        <v>236</v>
      </c>
      <c r="B237" s="3" t="s">
        <v>12</v>
      </c>
      <c r="C237" s="3" t="s">
        <v>328</v>
      </c>
      <c r="D237" s="4" t="s">
        <v>329</v>
      </c>
      <c r="E237" s="3" t="s">
        <v>21</v>
      </c>
      <c r="F237" s="3" t="s">
        <v>84</v>
      </c>
      <c r="G237" s="3" t="s">
        <v>43</v>
      </c>
      <c r="H237" s="4" t="s">
        <v>85</v>
      </c>
      <c r="I237" s="4" t="s">
        <v>106</v>
      </c>
      <c r="J237" s="5">
        <f>IFERROR(VLOOKUP(K237,Docentes_Lista!$A$2:$C$212,2,FALSE),"")</f>
        <v>0</v>
      </c>
      <c r="K237" s="4"/>
      <c r="L237" s="2">
        <f>IFERROR(VLOOKUP(K237,Docentes_Lista!$A$2:$C$212,3,FALSE),"")</f>
        <v>0</v>
      </c>
    </row>
    <row r="238" spans="1:12" ht="30" customHeight="1">
      <c r="A238" s="2">
        <v>237</v>
      </c>
      <c r="B238" s="3" t="s">
        <v>32</v>
      </c>
      <c r="C238" s="3" t="s">
        <v>330</v>
      </c>
      <c r="D238" s="4" t="s">
        <v>331</v>
      </c>
      <c r="E238" s="3" t="s">
        <v>15</v>
      </c>
      <c r="F238" s="3" t="s">
        <v>35</v>
      </c>
      <c r="G238" s="3" t="s">
        <v>36</v>
      </c>
      <c r="H238" s="4" t="s">
        <v>49</v>
      </c>
      <c r="I238" s="4" t="s">
        <v>106</v>
      </c>
      <c r="J238" s="5">
        <f>IFERROR(VLOOKUP(K238,Docentes_Lista!$A$2:$C$212,2,FALSE),"")</f>
        <v>0</v>
      </c>
      <c r="K238" s="4"/>
      <c r="L238" s="2">
        <f>IFERROR(VLOOKUP(K238,Docentes_Lista!$A$2:$C$212,3,FALSE),"")</f>
        <v>0</v>
      </c>
    </row>
    <row r="239" spans="1:12" ht="30" customHeight="1">
      <c r="A239" s="2">
        <v>238</v>
      </c>
      <c r="B239" s="3" t="s">
        <v>32</v>
      </c>
      <c r="C239" s="3" t="s">
        <v>330</v>
      </c>
      <c r="D239" s="4" t="s">
        <v>331</v>
      </c>
      <c r="E239" s="3" t="s">
        <v>21</v>
      </c>
      <c r="F239" s="3" t="s">
        <v>83</v>
      </c>
      <c r="G239" s="3" t="s">
        <v>43</v>
      </c>
      <c r="H239" s="4" t="s">
        <v>44</v>
      </c>
      <c r="I239" s="4" t="s">
        <v>106</v>
      </c>
      <c r="J239" s="5">
        <f>IFERROR(VLOOKUP(K239,Docentes_Lista!$A$2:$C$212,2,FALSE),"")</f>
        <v>0</v>
      </c>
      <c r="K239" s="4"/>
      <c r="L239" s="2">
        <f>IFERROR(VLOOKUP(K239,Docentes_Lista!$A$2:$C$212,3,FALSE),"")</f>
        <v>0</v>
      </c>
    </row>
    <row r="240" spans="1:12" ht="30" customHeight="1">
      <c r="A240" s="2">
        <v>239</v>
      </c>
      <c r="B240" s="3" t="s">
        <v>12</v>
      </c>
      <c r="C240" s="3" t="s">
        <v>332</v>
      </c>
      <c r="D240" s="4" t="s">
        <v>333</v>
      </c>
      <c r="E240" s="3" t="s">
        <v>15</v>
      </c>
      <c r="F240" s="3" t="s">
        <v>35</v>
      </c>
      <c r="G240" s="3" t="s">
        <v>36</v>
      </c>
      <c r="H240" s="4" t="s">
        <v>49</v>
      </c>
      <c r="I240" s="4" t="s">
        <v>38</v>
      </c>
      <c r="J240" s="5">
        <f>IFERROR(VLOOKUP(K240,Docentes_Lista!$A$2:$C$212,2,FALSE),"")</f>
        <v>0</v>
      </c>
      <c r="K240" s="4"/>
      <c r="L240" s="2">
        <f>IFERROR(VLOOKUP(K240,Docentes_Lista!$A$2:$C$212,3,FALSE),"")</f>
        <v>0</v>
      </c>
    </row>
    <row r="241" spans="1:12" ht="30" customHeight="1">
      <c r="A241" s="2">
        <v>240</v>
      </c>
      <c r="B241" s="3" t="s">
        <v>32</v>
      </c>
      <c r="C241" s="3" t="s">
        <v>334</v>
      </c>
      <c r="D241" s="4" t="s">
        <v>115</v>
      </c>
      <c r="E241" s="3" t="s">
        <v>15</v>
      </c>
      <c r="F241" s="3" t="s">
        <v>35</v>
      </c>
      <c r="G241" s="3" t="s">
        <v>36</v>
      </c>
      <c r="H241" s="4" t="s">
        <v>49</v>
      </c>
      <c r="I241" s="4" t="s">
        <v>38</v>
      </c>
      <c r="J241" s="5">
        <f>IFERROR(VLOOKUP(K241,Docentes_Lista!$A$2:$C$212,2,FALSE),"")</f>
        <v>0</v>
      </c>
      <c r="K241" s="4"/>
      <c r="L241" s="2">
        <f>IFERROR(VLOOKUP(K241,Docentes_Lista!$A$2:$C$212,3,FALSE),"")</f>
        <v>0</v>
      </c>
    </row>
    <row r="242" spans="1:12" ht="30" customHeight="1">
      <c r="A242" s="2">
        <v>241</v>
      </c>
      <c r="B242" s="3" t="s">
        <v>12</v>
      </c>
      <c r="C242" s="3" t="s">
        <v>335</v>
      </c>
      <c r="D242" s="4" t="s">
        <v>336</v>
      </c>
      <c r="E242" s="3" t="s">
        <v>21</v>
      </c>
      <c r="F242" s="3" t="s">
        <v>35</v>
      </c>
      <c r="G242" s="3" t="s">
        <v>36</v>
      </c>
      <c r="H242" s="4" t="s">
        <v>49</v>
      </c>
      <c r="I242" s="4" t="s">
        <v>38</v>
      </c>
      <c r="J242" s="5">
        <f>IFERROR(VLOOKUP(K242,Docentes_Lista!$A$2:$C$212,2,FALSE),"")</f>
        <v>0</v>
      </c>
      <c r="K242" s="4"/>
      <c r="L242" s="2">
        <f>IFERROR(VLOOKUP(K242,Docentes_Lista!$A$2:$C$212,3,FALSE),"")</f>
        <v>0</v>
      </c>
    </row>
    <row r="243" spans="1:12" ht="30" customHeight="1">
      <c r="A243" s="2">
        <v>242</v>
      </c>
      <c r="B243" s="3" t="s">
        <v>12</v>
      </c>
      <c r="C243" s="3" t="s">
        <v>335</v>
      </c>
      <c r="D243" s="4" t="s">
        <v>336</v>
      </c>
      <c r="E243" s="3" t="s">
        <v>15</v>
      </c>
      <c r="F243" s="3" t="s">
        <v>51</v>
      </c>
      <c r="G243" s="3" t="s">
        <v>43</v>
      </c>
      <c r="H243" s="4" t="s">
        <v>52</v>
      </c>
      <c r="I243" s="4" t="s">
        <v>38</v>
      </c>
      <c r="J243" s="5">
        <f>IFERROR(VLOOKUP(K243,Docentes_Lista!$A$2:$C$212,2,FALSE),"")</f>
        <v>0</v>
      </c>
      <c r="K243" s="4"/>
      <c r="L243" s="2">
        <f>IFERROR(VLOOKUP(K243,Docentes_Lista!$A$2:$C$212,3,FALSE),"")</f>
        <v>0</v>
      </c>
    </row>
    <row r="244" spans="1:12" ht="30" customHeight="1">
      <c r="A244" s="2">
        <v>243</v>
      </c>
      <c r="B244" s="3" t="s">
        <v>153</v>
      </c>
      <c r="C244" s="3" t="s">
        <v>337</v>
      </c>
      <c r="D244" s="4" t="s">
        <v>338</v>
      </c>
      <c r="E244" s="3" t="s">
        <v>15</v>
      </c>
      <c r="F244" s="3" t="s">
        <v>35</v>
      </c>
      <c r="G244" s="3" t="s">
        <v>36</v>
      </c>
      <c r="H244" s="4" t="s">
        <v>49</v>
      </c>
      <c r="I244" s="4" t="s">
        <v>106</v>
      </c>
      <c r="J244" s="5">
        <f>IFERROR(VLOOKUP(K244,Docentes_Lista!$A$2:$C$212,2,FALSE),"")</f>
        <v>0</v>
      </c>
      <c r="K244" s="4"/>
      <c r="L244" s="2">
        <f>IFERROR(VLOOKUP(K244,Docentes_Lista!$A$2:$C$212,3,FALSE),"")</f>
        <v>0</v>
      </c>
    </row>
    <row r="245" spans="1:12" ht="30" customHeight="1">
      <c r="A245" s="2">
        <v>244</v>
      </c>
      <c r="B245" s="3" t="s">
        <v>148</v>
      </c>
      <c r="C245" s="3" t="s">
        <v>339</v>
      </c>
      <c r="D245" s="4" t="s">
        <v>340</v>
      </c>
      <c r="E245" s="3" t="s">
        <v>15</v>
      </c>
      <c r="F245" s="3" t="s">
        <v>35</v>
      </c>
      <c r="G245" s="3" t="s">
        <v>36</v>
      </c>
      <c r="H245" s="4" t="s">
        <v>49</v>
      </c>
      <c r="I245" s="4" t="s">
        <v>106</v>
      </c>
      <c r="J245" s="5">
        <f>IFERROR(VLOOKUP(K245,Docentes_Lista!$A$2:$C$212,2,FALSE),"")</f>
        <v>0</v>
      </c>
      <c r="K245" s="4"/>
      <c r="L245" s="2">
        <f>IFERROR(VLOOKUP(K245,Docentes_Lista!$A$2:$C$212,3,FALSE),"")</f>
        <v>0</v>
      </c>
    </row>
    <row r="246" spans="1:12" ht="30" customHeight="1">
      <c r="A246" s="2">
        <v>245</v>
      </c>
      <c r="B246" s="3" t="s">
        <v>148</v>
      </c>
      <c r="C246" s="3" t="s">
        <v>341</v>
      </c>
      <c r="D246" s="4" t="s">
        <v>342</v>
      </c>
      <c r="E246" s="3" t="s">
        <v>15</v>
      </c>
      <c r="F246" s="3" t="s">
        <v>35</v>
      </c>
      <c r="G246" s="3" t="s">
        <v>36</v>
      </c>
      <c r="H246" s="4" t="s">
        <v>49</v>
      </c>
      <c r="I246" s="4" t="s">
        <v>106</v>
      </c>
      <c r="J246" s="5">
        <f>IFERROR(VLOOKUP(K246,Docentes_Lista!$A$2:$C$212,2,FALSE),"")</f>
        <v>0</v>
      </c>
      <c r="K246" s="4"/>
      <c r="L246" s="2">
        <f>IFERROR(VLOOKUP(K246,Docentes_Lista!$A$2:$C$212,3,FALSE),"")</f>
        <v>0</v>
      </c>
    </row>
    <row r="247" spans="1:12" ht="30" customHeight="1">
      <c r="A247" s="2">
        <v>246</v>
      </c>
      <c r="B247" s="3" t="s">
        <v>148</v>
      </c>
      <c r="C247" s="3" t="s">
        <v>343</v>
      </c>
      <c r="D247" s="4" t="s">
        <v>344</v>
      </c>
      <c r="E247" s="3" t="s">
        <v>15</v>
      </c>
      <c r="F247" s="3" t="s">
        <v>35</v>
      </c>
      <c r="G247" s="3" t="s">
        <v>36</v>
      </c>
      <c r="H247" s="4" t="s">
        <v>49</v>
      </c>
      <c r="I247" s="4" t="s">
        <v>106</v>
      </c>
      <c r="J247" s="5">
        <f>IFERROR(VLOOKUP(K247,Docentes_Lista!$A$2:$C$212,2,FALSE),"")</f>
        <v>0</v>
      </c>
      <c r="K247" s="4"/>
      <c r="L247" s="2">
        <f>IFERROR(VLOOKUP(K247,Docentes_Lista!$A$2:$C$212,3,FALSE),"")</f>
        <v>0</v>
      </c>
    </row>
    <row r="248" spans="1:12" ht="30" customHeight="1">
      <c r="A248" s="2">
        <v>247</v>
      </c>
      <c r="B248" s="3" t="s">
        <v>148</v>
      </c>
      <c r="C248" s="3" t="s">
        <v>343</v>
      </c>
      <c r="D248" s="4" t="s">
        <v>344</v>
      </c>
      <c r="E248" s="3" t="s">
        <v>21</v>
      </c>
      <c r="F248" s="3" t="s">
        <v>42</v>
      </c>
      <c r="G248" s="3" t="s">
        <v>43</v>
      </c>
      <c r="H248" s="4" t="s">
        <v>44</v>
      </c>
      <c r="I248" s="4" t="s">
        <v>106</v>
      </c>
      <c r="J248" s="5">
        <f>IFERROR(VLOOKUP(K248,Docentes_Lista!$A$2:$C$212,2,FALSE),"")</f>
        <v>0</v>
      </c>
      <c r="K248" s="4"/>
      <c r="L248" s="2">
        <f>IFERROR(VLOOKUP(K248,Docentes_Lista!$A$2:$C$212,3,FALSE),"")</f>
        <v>0</v>
      </c>
    </row>
    <row r="249" spans="1:12" ht="30" customHeight="1">
      <c r="A249" s="2">
        <v>248</v>
      </c>
      <c r="B249" s="3" t="s">
        <v>148</v>
      </c>
      <c r="C249" s="3" t="s">
        <v>345</v>
      </c>
      <c r="D249" s="4" t="s">
        <v>346</v>
      </c>
      <c r="E249" s="3" t="s">
        <v>15</v>
      </c>
      <c r="F249" s="3" t="s">
        <v>35</v>
      </c>
      <c r="G249" s="3" t="s">
        <v>36</v>
      </c>
      <c r="H249" s="4" t="s">
        <v>49</v>
      </c>
      <c r="I249" s="4" t="s">
        <v>106</v>
      </c>
      <c r="J249" s="5">
        <f>IFERROR(VLOOKUP(K249,Docentes_Lista!$A$2:$C$212,2,FALSE),"")</f>
        <v>0</v>
      </c>
      <c r="K249" s="4"/>
      <c r="L249" s="2">
        <f>IFERROR(VLOOKUP(K249,Docentes_Lista!$A$2:$C$212,3,FALSE),"")</f>
        <v>0</v>
      </c>
    </row>
    <row r="250" spans="1:12" ht="30" customHeight="1">
      <c r="A250" s="2">
        <v>249</v>
      </c>
      <c r="B250" s="3" t="s">
        <v>12</v>
      </c>
      <c r="C250" s="3" t="s">
        <v>347</v>
      </c>
      <c r="D250" s="4" t="s">
        <v>348</v>
      </c>
      <c r="E250" s="3" t="s">
        <v>15</v>
      </c>
      <c r="F250" s="3" t="s">
        <v>51</v>
      </c>
      <c r="G250" s="3" t="s">
        <v>43</v>
      </c>
      <c r="H250" s="4" t="s">
        <v>52</v>
      </c>
      <c r="I250" s="4" t="s">
        <v>38</v>
      </c>
      <c r="J250" s="5">
        <f>IFERROR(VLOOKUP(K250,Docentes_Lista!$A$2:$C$212,2,FALSE),"")</f>
        <v>0</v>
      </c>
      <c r="K250" s="4"/>
      <c r="L250" s="2">
        <f>IFERROR(VLOOKUP(K250,Docentes_Lista!$A$2:$C$212,3,FALSE),"")</f>
        <v>0</v>
      </c>
    </row>
    <row r="251" spans="1:12" ht="30" customHeight="1">
      <c r="A251" s="2">
        <v>250</v>
      </c>
      <c r="B251" s="3" t="s">
        <v>32</v>
      </c>
      <c r="C251" s="3" t="s">
        <v>349</v>
      </c>
      <c r="D251" s="4" t="s">
        <v>350</v>
      </c>
      <c r="E251" s="3" t="s">
        <v>15</v>
      </c>
      <c r="F251" s="3" t="s">
        <v>51</v>
      </c>
      <c r="G251" s="3" t="s">
        <v>43</v>
      </c>
      <c r="H251" s="4" t="s">
        <v>52</v>
      </c>
      <c r="I251" s="4" t="s">
        <v>38</v>
      </c>
      <c r="J251" s="5">
        <f>IFERROR(VLOOKUP(K251,Docentes_Lista!$A$2:$C$212,2,FALSE),"")</f>
        <v>0</v>
      </c>
      <c r="K251" s="4"/>
      <c r="L251" s="2">
        <f>IFERROR(VLOOKUP(K251,Docentes_Lista!$A$2:$C$212,3,FALSE),"")</f>
        <v>0</v>
      </c>
    </row>
    <row r="252" spans="1:12" ht="30" customHeight="1">
      <c r="A252" s="2">
        <v>251</v>
      </c>
      <c r="B252" s="3" t="s">
        <v>12</v>
      </c>
      <c r="C252" s="3" t="s">
        <v>351</v>
      </c>
      <c r="D252" s="4" t="s">
        <v>352</v>
      </c>
      <c r="E252" s="3" t="s">
        <v>15</v>
      </c>
      <c r="F252" s="3" t="s">
        <v>51</v>
      </c>
      <c r="G252" s="3" t="s">
        <v>43</v>
      </c>
      <c r="H252" s="4" t="s">
        <v>52</v>
      </c>
      <c r="I252" s="4" t="s">
        <v>38</v>
      </c>
      <c r="J252" s="5">
        <f>IFERROR(VLOOKUP(K252,Docentes_Lista!$A$2:$C$212,2,FALSE),"")</f>
        <v>0</v>
      </c>
      <c r="K252" s="4"/>
      <c r="L252" s="2">
        <f>IFERROR(VLOOKUP(K252,Docentes_Lista!$A$2:$C$212,3,FALSE),"")</f>
        <v>0</v>
      </c>
    </row>
    <row r="253" spans="1:12" ht="30" customHeight="1">
      <c r="A253" s="2">
        <v>252</v>
      </c>
      <c r="B253" s="3" t="s">
        <v>12</v>
      </c>
      <c r="C253" s="3" t="s">
        <v>353</v>
      </c>
      <c r="D253" s="4" t="s">
        <v>14</v>
      </c>
      <c r="E253" s="3" t="s">
        <v>15</v>
      </c>
      <c r="F253" s="3" t="s">
        <v>83</v>
      </c>
      <c r="G253" s="3" t="s">
        <v>43</v>
      </c>
      <c r="H253" s="4" t="s">
        <v>44</v>
      </c>
      <c r="I253" s="4" t="s">
        <v>106</v>
      </c>
      <c r="J253" s="5">
        <f>IFERROR(VLOOKUP(K253,Docentes_Lista!$A$2:$C$212,2,FALSE),"")</f>
        <v>0</v>
      </c>
      <c r="K253" s="4"/>
      <c r="L253" s="2">
        <f>IFERROR(VLOOKUP(K253,Docentes_Lista!$A$2:$C$212,3,FALSE),"")</f>
        <v>0</v>
      </c>
    </row>
    <row r="254" spans="1:12" ht="30" customHeight="1">
      <c r="A254" s="2">
        <v>253</v>
      </c>
      <c r="B254" s="3" t="s">
        <v>12</v>
      </c>
      <c r="C254" s="3" t="s">
        <v>354</v>
      </c>
      <c r="D254" s="4" t="s">
        <v>329</v>
      </c>
      <c r="E254" s="3" t="s">
        <v>15</v>
      </c>
      <c r="F254" s="3" t="s">
        <v>42</v>
      </c>
      <c r="G254" s="3" t="s">
        <v>43</v>
      </c>
      <c r="H254" s="4" t="s">
        <v>44</v>
      </c>
      <c r="I254" s="4" t="s">
        <v>38</v>
      </c>
      <c r="J254" s="5">
        <f>IFERROR(VLOOKUP(K254,Docentes_Lista!$A$2:$C$212,2,FALSE),"")</f>
        <v>0</v>
      </c>
      <c r="K254" s="4"/>
      <c r="L254" s="2">
        <f>IFERROR(VLOOKUP(K254,Docentes_Lista!$A$2:$C$212,3,FALSE),"")</f>
        <v>0</v>
      </c>
    </row>
    <row r="255" spans="1:12" ht="30" customHeight="1">
      <c r="A255" s="2">
        <v>254</v>
      </c>
      <c r="B255" s="3" t="s">
        <v>12</v>
      </c>
      <c r="C255" s="3" t="s">
        <v>355</v>
      </c>
      <c r="D255" s="4" t="s">
        <v>356</v>
      </c>
      <c r="E255" s="3" t="s">
        <v>15</v>
      </c>
      <c r="F255" s="3" t="s">
        <v>83</v>
      </c>
      <c r="G255" s="3" t="s">
        <v>43</v>
      </c>
      <c r="H255" s="4" t="s">
        <v>44</v>
      </c>
      <c r="I255" s="4" t="s">
        <v>106</v>
      </c>
      <c r="J255" s="5">
        <f>IFERROR(VLOOKUP(K255,Docentes_Lista!$A$2:$C$212,2,FALSE),"")</f>
        <v>0</v>
      </c>
      <c r="K255" s="4"/>
      <c r="L255" s="2">
        <f>IFERROR(VLOOKUP(K255,Docentes_Lista!$A$2:$C$212,3,FALSE),"")</f>
        <v>0</v>
      </c>
    </row>
    <row r="256" spans="1:12" ht="30" customHeight="1">
      <c r="A256" s="2">
        <v>255</v>
      </c>
      <c r="B256" s="3" t="s">
        <v>12</v>
      </c>
      <c r="C256" s="3" t="s">
        <v>357</v>
      </c>
      <c r="D256" s="4" t="s">
        <v>358</v>
      </c>
      <c r="E256" s="3" t="s">
        <v>15</v>
      </c>
      <c r="F256" s="3" t="s">
        <v>83</v>
      </c>
      <c r="G256" s="3" t="s">
        <v>43</v>
      </c>
      <c r="H256" s="4" t="s">
        <v>44</v>
      </c>
      <c r="I256" s="4" t="s">
        <v>106</v>
      </c>
      <c r="J256" s="5">
        <f>IFERROR(VLOOKUP(K256,Docentes_Lista!$A$2:$C$212,2,FALSE),"")</f>
        <v>0</v>
      </c>
      <c r="K256" s="4"/>
      <c r="L256" s="2">
        <f>IFERROR(VLOOKUP(K256,Docentes_Lista!$A$2:$C$212,3,FALSE),"")</f>
        <v>0</v>
      </c>
    </row>
    <row r="257" spans="1:12" ht="30" customHeight="1">
      <c r="A257" s="2">
        <v>256</v>
      </c>
      <c r="B257" s="3" t="s">
        <v>12</v>
      </c>
      <c r="C257" s="3" t="s">
        <v>359</v>
      </c>
      <c r="D257" s="4" t="s">
        <v>360</v>
      </c>
      <c r="E257" s="3" t="s">
        <v>15</v>
      </c>
      <c r="F257" s="3" t="s">
        <v>42</v>
      </c>
      <c r="G257" s="3" t="s">
        <v>43</v>
      </c>
      <c r="H257" s="4" t="s">
        <v>44</v>
      </c>
      <c r="I257" s="4" t="s">
        <v>38</v>
      </c>
      <c r="J257" s="5">
        <f>IFERROR(VLOOKUP(K257,Docentes_Lista!$A$2:$C$212,2,FALSE),"")</f>
        <v>0</v>
      </c>
      <c r="K257" s="4"/>
      <c r="L257" s="2">
        <f>IFERROR(VLOOKUP(K257,Docentes_Lista!$A$2:$C$212,3,FALSE),"")</f>
        <v>0</v>
      </c>
    </row>
    <row r="258" spans="1:12" ht="30" customHeight="1">
      <c r="A258" s="2">
        <v>257</v>
      </c>
      <c r="B258" s="3" t="s">
        <v>12</v>
      </c>
      <c r="C258" s="3" t="s">
        <v>361</v>
      </c>
      <c r="D258" s="4" t="s">
        <v>362</v>
      </c>
      <c r="E258" s="3" t="s">
        <v>15</v>
      </c>
      <c r="F258" s="3" t="s">
        <v>83</v>
      </c>
      <c r="G258" s="3" t="s">
        <v>43</v>
      </c>
      <c r="H258" s="4" t="s">
        <v>44</v>
      </c>
      <c r="I258" s="4" t="s">
        <v>106</v>
      </c>
      <c r="J258" s="5">
        <f>IFERROR(VLOOKUP(K258,Docentes_Lista!$A$2:$C$212,2,FALSE),"")</f>
        <v>0</v>
      </c>
      <c r="K258" s="4"/>
      <c r="L258" s="2">
        <f>IFERROR(VLOOKUP(K258,Docentes_Lista!$A$2:$C$212,3,FALSE),"")</f>
        <v>0</v>
      </c>
    </row>
    <row r="259" spans="1:12" ht="30" customHeight="1">
      <c r="A259" s="2">
        <v>258</v>
      </c>
      <c r="B259" s="3" t="s">
        <v>12</v>
      </c>
      <c r="C259" s="3" t="s">
        <v>363</v>
      </c>
      <c r="D259" s="4" t="s">
        <v>14</v>
      </c>
      <c r="E259" s="3" t="s">
        <v>15</v>
      </c>
      <c r="F259" s="3" t="s">
        <v>42</v>
      </c>
      <c r="G259" s="3" t="s">
        <v>43</v>
      </c>
      <c r="H259" s="4" t="s">
        <v>44</v>
      </c>
      <c r="I259" s="4" t="s">
        <v>106</v>
      </c>
      <c r="J259" s="5">
        <f>IFERROR(VLOOKUP(K259,Docentes_Lista!$A$2:$C$212,2,FALSE),"")</f>
        <v>0</v>
      </c>
      <c r="K259" s="4"/>
      <c r="L259" s="2">
        <f>IFERROR(VLOOKUP(K259,Docentes_Lista!$A$2:$C$212,3,FALSE),"")</f>
        <v>0</v>
      </c>
    </row>
    <row r="260" spans="1:12" ht="30" customHeight="1">
      <c r="A260" s="2">
        <v>259</v>
      </c>
      <c r="B260" s="3" t="s">
        <v>12</v>
      </c>
      <c r="C260" s="3" t="s">
        <v>363</v>
      </c>
      <c r="D260" s="4" t="s">
        <v>14</v>
      </c>
      <c r="E260" s="3" t="s">
        <v>21</v>
      </c>
      <c r="F260" s="3" t="s">
        <v>84</v>
      </c>
      <c r="G260" s="3" t="s">
        <v>43</v>
      </c>
      <c r="H260" s="4" t="s">
        <v>85</v>
      </c>
      <c r="I260" s="4" t="s">
        <v>106</v>
      </c>
      <c r="J260" s="5">
        <f>IFERROR(VLOOKUP(K260,Docentes_Lista!$A$2:$C$212,2,FALSE),"")</f>
        <v>0</v>
      </c>
      <c r="K260" s="4"/>
      <c r="L260" s="2">
        <f>IFERROR(VLOOKUP(K260,Docentes_Lista!$A$2:$C$212,3,FALSE),"")</f>
        <v>0</v>
      </c>
    </row>
    <row r="261" spans="1:12" ht="30" customHeight="1">
      <c r="A261" s="2">
        <v>260</v>
      </c>
      <c r="B261" s="3" t="s">
        <v>12</v>
      </c>
      <c r="C261" s="3" t="s">
        <v>364</v>
      </c>
      <c r="D261" s="4" t="s">
        <v>14</v>
      </c>
      <c r="E261" s="3" t="s">
        <v>15</v>
      </c>
      <c r="F261" s="3" t="s">
        <v>83</v>
      </c>
      <c r="G261" s="3" t="s">
        <v>43</v>
      </c>
      <c r="H261" s="4" t="s">
        <v>44</v>
      </c>
      <c r="I261" s="4" t="s">
        <v>106</v>
      </c>
      <c r="J261" s="5">
        <f>IFERROR(VLOOKUP(K261,Docentes_Lista!$A$2:$C$212,2,FALSE),"")</f>
        <v>0</v>
      </c>
      <c r="K261" s="4"/>
      <c r="L261" s="2">
        <f>IFERROR(VLOOKUP(K261,Docentes_Lista!$A$2:$C$212,3,FALSE),"")</f>
        <v>0</v>
      </c>
    </row>
    <row r="262" spans="1:12" ht="30" customHeight="1">
      <c r="A262" s="2">
        <v>261</v>
      </c>
      <c r="B262" s="3" t="s">
        <v>12</v>
      </c>
      <c r="C262" s="3" t="s">
        <v>365</v>
      </c>
      <c r="D262" s="4" t="s">
        <v>366</v>
      </c>
      <c r="E262" s="3" t="s">
        <v>15</v>
      </c>
      <c r="F262" s="3" t="s">
        <v>83</v>
      </c>
      <c r="G262" s="3" t="s">
        <v>43</v>
      </c>
      <c r="H262" s="4" t="s">
        <v>44</v>
      </c>
      <c r="I262" s="4" t="s">
        <v>38</v>
      </c>
      <c r="J262" s="5">
        <f>IFERROR(VLOOKUP(K262,Docentes_Lista!$A$2:$C$212,2,FALSE),"")</f>
        <v>0</v>
      </c>
      <c r="K262" s="4"/>
      <c r="L262" s="2">
        <f>IFERROR(VLOOKUP(K262,Docentes_Lista!$A$2:$C$212,3,FALSE),"")</f>
        <v>0</v>
      </c>
    </row>
    <row r="263" spans="1:12" ht="30" customHeight="1">
      <c r="A263" s="2">
        <v>262</v>
      </c>
      <c r="B263" s="3" t="s">
        <v>12</v>
      </c>
      <c r="C263" s="3" t="s">
        <v>367</v>
      </c>
      <c r="D263" s="4" t="s">
        <v>368</v>
      </c>
      <c r="E263" s="3" t="s">
        <v>15</v>
      </c>
      <c r="F263" s="3" t="s">
        <v>83</v>
      </c>
      <c r="G263" s="3" t="s">
        <v>43</v>
      </c>
      <c r="H263" s="4" t="s">
        <v>44</v>
      </c>
      <c r="I263" s="4" t="s">
        <v>106</v>
      </c>
      <c r="J263" s="5">
        <f>IFERROR(VLOOKUP(K263,Docentes_Lista!$A$2:$C$212,2,FALSE),"")</f>
        <v>0</v>
      </c>
      <c r="K263" s="4"/>
      <c r="L263" s="2">
        <f>IFERROR(VLOOKUP(K263,Docentes_Lista!$A$2:$C$212,3,FALSE),"")</f>
        <v>0</v>
      </c>
    </row>
    <row r="264" spans="1:12" ht="30" customHeight="1">
      <c r="A264" s="2">
        <v>263</v>
      </c>
      <c r="B264" s="3" t="s">
        <v>12</v>
      </c>
      <c r="C264" s="3" t="s">
        <v>369</v>
      </c>
      <c r="D264" s="4" t="s">
        <v>370</v>
      </c>
      <c r="E264" s="3" t="s">
        <v>15</v>
      </c>
      <c r="F264" s="3" t="s">
        <v>42</v>
      </c>
      <c r="G264" s="3" t="s">
        <v>43</v>
      </c>
      <c r="H264" s="4" t="s">
        <v>44</v>
      </c>
      <c r="I264" s="4" t="s">
        <v>106</v>
      </c>
      <c r="J264" s="5">
        <f>IFERROR(VLOOKUP(K264,Docentes_Lista!$A$2:$C$212,2,FALSE),"")</f>
        <v>0</v>
      </c>
      <c r="K264" s="4"/>
      <c r="L264" s="2">
        <f>IFERROR(VLOOKUP(K264,Docentes_Lista!$A$2:$C$212,3,FALSE),"")</f>
        <v>0</v>
      </c>
    </row>
    <row r="265" spans="1:12" ht="30" customHeight="1">
      <c r="A265" s="2">
        <v>264</v>
      </c>
      <c r="B265" s="3" t="s">
        <v>148</v>
      </c>
      <c r="C265" s="3" t="s">
        <v>371</v>
      </c>
      <c r="D265" s="4" t="s">
        <v>372</v>
      </c>
      <c r="E265" s="3" t="s">
        <v>15</v>
      </c>
      <c r="F265" s="3" t="s">
        <v>83</v>
      </c>
      <c r="G265" s="3" t="s">
        <v>43</v>
      </c>
      <c r="H265" s="4" t="s">
        <v>44</v>
      </c>
      <c r="I265" s="4" t="s">
        <v>106</v>
      </c>
      <c r="J265" s="5">
        <f>IFERROR(VLOOKUP(K265,Docentes_Lista!$A$2:$C$212,2,FALSE),"")</f>
        <v>0</v>
      </c>
      <c r="K265" s="4"/>
      <c r="L265" s="2">
        <f>IFERROR(VLOOKUP(K265,Docentes_Lista!$A$2:$C$212,3,FALSE),"")</f>
        <v>0</v>
      </c>
    </row>
    <row r="266" spans="1:12" ht="30" customHeight="1">
      <c r="A266" s="2">
        <v>265</v>
      </c>
      <c r="B266" s="3" t="s">
        <v>148</v>
      </c>
      <c r="C266" s="3" t="s">
        <v>373</v>
      </c>
      <c r="D266" s="4" t="s">
        <v>374</v>
      </c>
      <c r="E266" s="3" t="s">
        <v>15</v>
      </c>
      <c r="F266" s="3" t="s">
        <v>83</v>
      </c>
      <c r="G266" s="3" t="s">
        <v>43</v>
      </c>
      <c r="H266" s="4" t="s">
        <v>44</v>
      </c>
      <c r="I266" s="4" t="s">
        <v>38</v>
      </c>
      <c r="J266" s="5">
        <f>IFERROR(VLOOKUP(K266,Docentes_Lista!$A$2:$C$212,2,FALSE),"")</f>
        <v>0</v>
      </c>
      <c r="K266" s="4"/>
      <c r="L266" s="2">
        <f>IFERROR(VLOOKUP(K266,Docentes_Lista!$A$2:$C$212,3,FALSE),"")</f>
        <v>0</v>
      </c>
    </row>
    <row r="267" spans="1:12" ht="30" customHeight="1">
      <c r="A267" s="2">
        <v>266</v>
      </c>
      <c r="B267" s="3" t="s">
        <v>148</v>
      </c>
      <c r="C267" s="3" t="s">
        <v>375</v>
      </c>
      <c r="D267" s="4" t="s">
        <v>376</v>
      </c>
      <c r="E267" s="3" t="s">
        <v>15</v>
      </c>
      <c r="F267" s="3" t="s">
        <v>83</v>
      </c>
      <c r="G267" s="3" t="s">
        <v>43</v>
      </c>
      <c r="H267" s="4" t="s">
        <v>44</v>
      </c>
      <c r="I267" s="4" t="s">
        <v>38</v>
      </c>
      <c r="J267" s="5">
        <f>IFERROR(VLOOKUP(K267,Docentes_Lista!$A$2:$C$212,2,FALSE),"")</f>
        <v>0</v>
      </c>
      <c r="K267" s="4"/>
      <c r="L267" s="2">
        <f>IFERROR(VLOOKUP(K267,Docentes_Lista!$A$2:$C$212,3,FALSE),"")</f>
        <v>0</v>
      </c>
    </row>
    <row r="268" spans="1:12" ht="30" customHeight="1">
      <c r="A268" s="2">
        <v>267</v>
      </c>
      <c r="B268" s="3" t="s">
        <v>153</v>
      </c>
      <c r="C268" s="3" t="s">
        <v>377</v>
      </c>
      <c r="D268" s="4" t="s">
        <v>378</v>
      </c>
      <c r="E268" s="3" t="s">
        <v>15</v>
      </c>
      <c r="F268" s="3" t="s">
        <v>42</v>
      </c>
      <c r="G268" s="3" t="s">
        <v>43</v>
      </c>
      <c r="H268" s="4" t="s">
        <v>44</v>
      </c>
      <c r="I268" s="4" t="s">
        <v>38</v>
      </c>
      <c r="J268" s="5">
        <f>IFERROR(VLOOKUP(K268,Docentes_Lista!$A$2:$C$212,2,FALSE),"")</f>
        <v>0</v>
      </c>
      <c r="K268" s="4"/>
      <c r="L268" s="2">
        <f>IFERROR(VLOOKUP(K268,Docentes_Lista!$A$2:$C$212,3,FALSE),"")</f>
        <v>0</v>
      </c>
    </row>
    <row r="269" spans="1:12" ht="30" customHeight="1">
      <c r="A269" s="2">
        <v>268</v>
      </c>
      <c r="B269" s="3" t="s">
        <v>148</v>
      </c>
      <c r="C269" s="3" t="s">
        <v>379</v>
      </c>
      <c r="D269" s="4" t="s">
        <v>380</v>
      </c>
      <c r="E269" s="3" t="s">
        <v>15</v>
      </c>
      <c r="F269" s="3" t="s">
        <v>83</v>
      </c>
      <c r="G269" s="3" t="s">
        <v>43</v>
      </c>
      <c r="H269" s="4" t="s">
        <v>44</v>
      </c>
      <c r="I269" s="4" t="s">
        <v>106</v>
      </c>
      <c r="J269" s="5">
        <f>IFERROR(VLOOKUP(K269,Docentes_Lista!$A$2:$C$212,2,FALSE),"")</f>
        <v>0</v>
      </c>
      <c r="K269" s="4"/>
      <c r="L269" s="2">
        <f>IFERROR(VLOOKUP(K269,Docentes_Lista!$A$2:$C$212,3,FALSE),"")</f>
        <v>0</v>
      </c>
    </row>
    <row r="270" spans="1:12" ht="30" customHeight="1">
      <c r="A270" s="2">
        <v>269</v>
      </c>
      <c r="B270" s="3" t="s">
        <v>148</v>
      </c>
      <c r="C270" s="3" t="s">
        <v>381</v>
      </c>
      <c r="D270" s="4" t="s">
        <v>382</v>
      </c>
      <c r="E270" s="3" t="s">
        <v>15</v>
      </c>
      <c r="F270" s="3" t="s">
        <v>83</v>
      </c>
      <c r="G270" s="3" t="s">
        <v>43</v>
      </c>
      <c r="H270" s="4" t="s">
        <v>44</v>
      </c>
      <c r="I270" s="4" t="s">
        <v>106</v>
      </c>
      <c r="J270" s="5">
        <f>IFERROR(VLOOKUP(K270,Docentes_Lista!$A$2:$C$212,2,FALSE),"")</f>
        <v>0</v>
      </c>
      <c r="K270" s="4"/>
      <c r="L270" s="2">
        <f>IFERROR(VLOOKUP(K270,Docentes_Lista!$A$2:$C$212,3,FALSE),"")</f>
        <v>0</v>
      </c>
    </row>
    <row r="271" spans="1:12" ht="30" customHeight="1">
      <c r="A271" s="2">
        <v>270</v>
      </c>
      <c r="B271" s="3" t="s">
        <v>148</v>
      </c>
      <c r="C271" s="3" t="s">
        <v>383</v>
      </c>
      <c r="D271" s="4" t="s">
        <v>384</v>
      </c>
      <c r="E271" s="3" t="s">
        <v>15</v>
      </c>
      <c r="F271" s="3" t="s">
        <v>83</v>
      </c>
      <c r="G271" s="3" t="s">
        <v>43</v>
      </c>
      <c r="H271" s="4" t="s">
        <v>44</v>
      </c>
      <c r="I271" s="4" t="s">
        <v>106</v>
      </c>
      <c r="J271" s="5">
        <f>IFERROR(VLOOKUP(K271,Docentes_Lista!$A$2:$C$212,2,FALSE),"")</f>
        <v>0</v>
      </c>
      <c r="K271" s="4"/>
      <c r="L271" s="2">
        <f>IFERROR(VLOOKUP(K271,Docentes_Lista!$A$2:$C$212,3,FALSE),"")</f>
        <v>0</v>
      </c>
    </row>
    <row r="272" spans="1:12" ht="30" customHeight="1">
      <c r="A272" s="2">
        <v>271</v>
      </c>
      <c r="B272" s="3" t="s">
        <v>153</v>
      </c>
      <c r="C272" s="3" t="s">
        <v>385</v>
      </c>
      <c r="D272" s="4" t="s">
        <v>386</v>
      </c>
      <c r="E272" s="3" t="s">
        <v>15</v>
      </c>
      <c r="F272" s="3" t="s">
        <v>83</v>
      </c>
      <c r="G272" s="3" t="s">
        <v>43</v>
      </c>
      <c r="H272" s="4" t="s">
        <v>44</v>
      </c>
      <c r="I272" s="4" t="s">
        <v>106</v>
      </c>
      <c r="J272" s="5">
        <f>IFERROR(VLOOKUP(K272,Docentes_Lista!$A$2:$C$212,2,FALSE),"")</f>
        <v>0</v>
      </c>
      <c r="K272" s="4"/>
      <c r="L272" s="2">
        <f>IFERROR(VLOOKUP(K272,Docentes_Lista!$A$2:$C$212,3,FALSE),"")</f>
        <v>0</v>
      </c>
    </row>
    <row r="273" spans="1:12" ht="30" customHeight="1">
      <c r="A273" s="2">
        <v>272</v>
      </c>
      <c r="B273" s="3" t="s">
        <v>153</v>
      </c>
      <c r="C273" s="3" t="s">
        <v>387</v>
      </c>
      <c r="D273" s="4" t="s">
        <v>388</v>
      </c>
      <c r="E273" s="3" t="s">
        <v>15</v>
      </c>
      <c r="F273" s="3" t="s">
        <v>389</v>
      </c>
      <c r="G273" s="3"/>
      <c r="H273" s="4" t="s">
        <v>390</v>
      </c>
      <c r="I273" s="4" t="s">
        <v>106</v>
      </c>
      <c r="J273" s="5">
        <f>IFERROR(VLOOKUP(K273,Docentes_Lista!$A$2:$C$212,2,FALSE),"")</f>
        <v>0</v>
      </c>
      <c r="K273" s="4"/>
      <c r="L273" s="2">
        <f>IFERROR(VLOOKUP(K273,Docentes_Lista!$A$2:$C$212,3,FALSE),"")</f>
        <v>0</v>
      </c>
    </row>
    <row r="274" spans="1:12" ht="30" customHeight="1">
      <c r="A274" s="2">
        <v>273</v>
      </c>
      <c r="B274" s="3" t="s">
        <v>153</v>
      </c>
      <c r="C274" s="3" t="s">
        <v>391</v>
      </c>
      <c r="D274" s="4" t="s">
        <v>392</v>
      </c>
      <c r="E274" s="3" t="s">
        <v>15</v>
      </c>
      <c r="F274" s="3" t="s">
        <v>389</v>
      </c>
      <c r="G274" s="3"/>
      <c r="H274" s="4" t="s">
        <v>390</v>
      </c>
      <c r="I274" s="4" t="s">
        <v>106</v>
      </c>
      <c r="J274" s="5">
        <f>IFERROR(VLOOKUP(K274,Docentes_Lista!$A$2:$C$212,2,FALSE),"")</f>
        <v>0</v>
      </c>
      <c r="K274" s="4"/>
      <c r="L274" s="2">
        <f>IFERROR(VLOOKUP(K274,Docentes_Lista!$A$2:$C$212,3,FALSE),"")</f>
        <v>0</v>
      </c>
    </row>
    <row r="275" spans="1:12" ht="30" customHeight="1">
      <c r="A275" s="2">
        <v>274</v>
      </c>
      <c r="B275" s="3" t="s">
        <v>148</v>
      </c>
      <c r="C275" s="3" t="s">
        <v>393</v>
      </c>
      <c r="D275" s="4" t="s">
        <v>394</v>
      </c>
      <c r="E275" s="3" t="s">
        <v>15</v>
      </c>
      <c r="F275" s="3" t="s">
        <v>83</v>
      </c>
      <c r="G275" s="3" t="s">
        <v>43</v>
      </c>
      <c r="H275" s="4" t="s">
        <v>44</v>
      </c>
      <c r="I275" s="4" t="s">
        <v>38</v>
      </c>
      <c r="J275" s="5">
        <f>IFERROR(VLOOKUP(K275,Docentes_Lista!$A$2:$C$212,2,FALSE),"")</f>
        <v>0</v>
      </c>
      <c r="K275" s="4"/>
      <c r="L275" s="2">
        <f>IFERROR(VLOOKUP(K275,Docentes_Lista!$A$2:$C$212,3,FALSE),"")</f>
        <v>0</v>
      </c>
    </row>
    <row r="276" spans="1:12" ht="30" customHeight="1">
      <c r="A276" s="2">
        <v>275</v>
      </c>
      <c r="B276" s="3" t="s">
        <v>148</v>
      </c>
      <c r="C276" s="3" t="s">
        <v>395</v>
      </c>
      <c r="D276" s="4" t="s">
        <v>396</v>
      </c>
      <c r="E276" s="3" t="s">
        <v>15</v>
      </c>
      <c r="F276" s="3" t="s">
        <v>83</v>
      </c>
      <c r="G276" s="3" t="s">
        <v>43</v>
      </c>
      <c r="H276" s="4" t="s">
        <v>44</v>
      </c>
      <c r="I276" s="4" t="s">
        <v>106</v>
      </c>
      <c r="J276" s="5">
        <f>IFERROR(VLOOKUP(K276,Docentes_Lista!$A$2:$C$212,2,FALSE),"")</f>
        <v>0</v>
      </c>
      <c r="K276" s="4"/>
      <c r="L276" s="2">
        <f>IFERROR(VLOOKUP(K276,Docentes_Lista!$A$2:$C$212,3,FALSE),"")</f>
        <v>0</v>
      </c>
    </row>
    <row r="277" spans="1:12" ht="30" customHeight="1">
      <c r="A277" s="2">
        <v>276</v>
      </c>
      <c r="B277" s="3" t="s">
        <v>153</v>
      </c>
      <c r="C277" s="3" t="s">
        <v>397</v>
      </c>
      <c r="D277" s="4" t="s">
        <v>398</v>
      </c>
      <c r="E277" s="3" t="s">
        <v>15</v>
      </c>
      <c r="F277" s="3" t="s">
        <v>83</v>
      </c>
      <c r="G277" s="3" t="s">
        <v>43</v>
      </c>
      <c r="H277" s="4" t="s">
        <v>44</v>
      </c>
      <c r="I277" s="4" t="s">
        <v>38</v>
      </c>
      <c r="J277" s="5">
        <f>IFERROR(VLOOKUP(K277,Docentes_Lista!$A$2:$C$212,2,FALSE),"")</f>
        <v>0</v>
      </c>
      <c r="K277" s="4"/>
      <c r="L277" s="2">
        <f>IFERROR(VLOOKUP(K277,Docentes_Lista!$A$2:$C$212,3,FALSE),"")</f>
        <v>0</v>
      </c>
    </row>
    <row r="278" spans="1:12" ht="30" customHeight="1">
      <c r="A278" s="2">
        <v>277</v>
      </c>
      <c r="B278" s="3" t="s">
        <v>12</v>
      </c>
      <c r="C278" s="3" t="s">
        <v>399</v>
      </c>
      <c r="D278" s="4" t="s">
        <v>400</v>
      </c>
      <c r="E278" s="3" t="s">
        <v>15</v>
      </c>
      <c r="F278" s="3" t="s">
        <v>119</v>
      </c>
      <c r="G278" s="3" t="s">
        <v>43</v>
      </c>
      <c r="H278" s="4" t="s">
        <v>85</v>
      </c>
      <c r="I278" s="4" t="s">
        <v>106</v>
      </c>
      <c r="J278" s="5">
        <f>IFERROR(VLOOKUP(K278,Docentes_Lista!$A$2:$C$212,2,FALSE),"")</f>
        <v>0</v>
      </c>
      <c r="K278" s="4"/>
      <c r="L278" s="2">
        <f>IFERROR(VLOOKUP(K278,Docentes_Lista!$A$2:$C$212,3,FALSE),"")</f>
        <v>0</v>
      </c>
    </row>
    <row r="279" spans="1:12" ht="30" customHeight="1">
      <c r="A279" s="2">
        <v>278</v>
      </c>
      <c r="B279" s="3" t="s">
        <v>12</v>
      </c>
      <c r="C279" s="3" t="s">
        <v>401</v>
      </c>
      <c r="D279" s="4" t="s">
        <v>402</v>
      </c>
      <c r="E279" s="3" t="s">
        <v>15</v>
      </c>
      <c r="F279" s="3" t="s">
        <v>119</v>
      </c>
      <c r="G279" s="3" t="s">
        <v>43</v>
      </c>
      <c r="H279" s="4" t="s">
        <v>85</v>
      </c>
      <c r="I279" s="4" t="s">
        <v>106</v>
      </c>
      <c r="J279" s="5">
        <f>IFERROR(VLOOKUP(K279,Docentes_Lista!$A$2:$C$212,2,FALSE),"")</f>
        <v>0</v>
      </c>
      <c r="K279" s="4"/>
      <c r="L279" s="2">
        <f>IFERROR(VLOOKUP(K279,Docentes_Lista!$A$2:$C$212,3,FALSE),"")</f>
        <v>0</v>
      </c>
    </row>
    <row r="280" spans="1:12" ht="30" customHeight="1">
      <c r="A280" s="2">
        <v>279</v>
      </c>
      <c r="B280" s="3" t="s">
        <v>12</v>
      </c>
      <c r="C280" s="3" t="s">
        <v>403</v>
      </c>
      <c r="D280" s="4" t="s">
        <v>404</v>
      </c>
      <c r="E280" s="3" t="s">
        <v>15</v>
      </c>
      <c r="F280" s="3" t="s">
        <v>119</v>
      </c>
      <c r="G280" s="3" t="s">
        <v>43</v>
      </c>
      <c r="H280" s="4" t="s">
        <v>85</v>
      </c>
      <c r="I280" s="4" t="s">
        <v>106</v>
      </c>
      <c r="J280" s="5">
        <f>IFERROR(VLOOKUP(K280,Docentes_Lista!$A$2:$C$212,2,FALSE),"")</f>
        <v>0</v>
      </c>
      <c r="K280" s="4"/>
      <c r="L280" s="2">
        <f>IFERROR(VLOOKUP(K280,Docentes_Lista!$A$2:$C$212,3,FALSE),"")</f>
        <v>0</v>
      </c>
    </row>
    <row r="281" spans="1:12" ht="30" customHeight="1">
      <c r="A281" s="2">
        <v>280</v>
      </c>
      <c r="B281" s="3" t="s">
        <v>12</v>
      </c>
      <c r="C281" s="3" t="s">
        <v>405</v>
      </c>
      <c r="D281" s="4" t="s">
        <v>406</v>
      </c>
      <c r="E281" s="3" t="s">
        <v>15</v>
      </c>
      <c r="F281" s="3" t="s">
        <v>84</v>
      </c>
      <c r="G281" s="3" t="s">
        <v>43</v>
      </c>
      <c r="H281" s="4" t="s">
        <v>85</v>
      </c>
      <c r="I281" s="4" t="s">
        <v>106</v>
      </c>
      <c r="J281" s="5">
        <f>IFERROR(VLOOKUP(K281,Docentes_Lista!$A$2:$C$212,2,FALSE),"")</f>
        <v>0</v>
      </c>
      <c r="K281" s="4"/>
      <c r="L281" s="2">
        <f>IFERROR(VLOOKUP(K281,Docentes_Lista!$A$2:$C$212,3,FALSE),"")</f>
        <v>0</v>
      </c>
    </row>
    <row r="282" spans="1:12" ht="30" customHeight="1">
      <c r="A282" s="2">
        <v>281</v>
      </c>
      <c r="B282" s="3" t="s">
        <v>12</v>
      </c>
      <c r="C282" s="3" t="s">
        <v>407</v>
      </c>
      <c r="D282" s="4" t="s">
        <v>408</v>
      </c>
      <c r="E282" s="3" t="s">
        <v>15</v>
      </c>
      <c r="F282" s="3" t="s">
        <v>84</v>
      </c>
      <c r="G282" s="3" t="s">
        <v>43</v>
      </c>
      <c r="H282" s="4" t="s">
        <v>85</v>
      </c>
      <c r="I282" s="4" t="s">
        <v>106</v>
      </c>
      <c r="J282" s="5">
        <f>IFERROR(VLOOKUP(K282,Docentes_Lista!$A$2:$C$212,2,FALSE),"")</f>
        <v>0</v>
      </c>
      <c r="K282" s="4"/>
      <c r="L282" s="2">
        <f>IFERROR(VLOOKUP(K282,Docentes_Lista!$A$2:$C$212,3,FALSE),"")</f>
        <v>0</v>
      </c>
    </row>
    <row r="283" spans="1:12" ht="30" customHeight="1">
      <c r="A283" s="2">
        <v>282</v>
      </c>
      <c r="B283" s="3" t="s">
        <v>153</v>
      </c>
      <c r="C283" s="3" t="s">
        <v>409</v>
      </c>
      <c r="D283" s="4" t="s">
        <v>410</v>
      </c>
      <c r="E283" s="3" t="s">
        <v>15</v>
      </c>
      <c r="F283" s="3" t="s">
        <v>84</v>
      </c>
      <c r="G283" s="3" t="s">
        <v>43</v>
      </c>
      <c r="H283" s="4" t="s">
        <v>85</v>
      </c>
      <c r="I283" s="4" t="s">
        <v>106</v>
      </c>
      <c r="J283" s="5">
        <f>IFERROR(VLOOKUP(K283,Docentes_Lista!$A$2:$C$212,2,FALSE),"")</f>
        <v>0</v>
      </c>
      <c r="K283" s="4"/>
      <c r="L283" s="2">
        <f>IFERROR(VLOOKUP(K283,Docentes_Lista!$A$2:$C$212,3,FALSE),"")</f>
        <v>0</v>
      </c>
    </row>
    <row r="284" spans="1:12" ht="30" customHeight="1">
      <c r="A284" s="2">
        <v>283</v>
      </c>
      <c r="B284" s="3" t="s">
        <v>12</v>
      </c>
      <c r="C284" s="3" t="s">
        <v>411</v>
      </c>
      <c r="D284" s="4" t="s">
        <v>412</v>
      </c>
      <c r="E284" s="3" t="s">
        <v>15</v>
      </c>
      <c r="F284" s="3" t="s">
        <v>84</v>
      </c>
      <c r="G284" s="3" t="s">
        <v>43</v>
      </c>
      <c r="H284" s="4" t="s">
        <v>85</v>
      </c>
      <c r="I284" s="4" t="s">
        <v>106</v>
      </c>
      <c r="J284" s="5">
        <f>IFERROR(VLOOKUP(K284,Docentes_Lista!$A$2:$C$212,2,FALSE),"")</f>
        <v>0</v>
      </c>
      <c r="K284" s="4"/>
      <c r="L284" s="2">
        <f>IFERROR(VLOOKUP(K284,Docentes_Lista!$A$2:$C$212,3,FALSE),"")</f>
        <v>0</v>
      </c>
    </row>
    <row r="285" spans="1:12" ht="30" customHeight="1">
      <c r="A285" s="2">
        <v>284</v>
      </c>
      <c r="B285" s="3" t="s">
        <v>12</v>
      </c>
      <c r="C285" s="3" t="s">
        <v>413</v>
      </c>
      <c r="D285" s="4" t="s">
        <v>414</v>
      </c>
      <c r="E285" s="3" t="s">
        <v>15</v>
      </c>
      <c r="F285" s="3" t="s">
        <v>119</v>
      </c>
      <c r="G285" s="3" t="s">
        <v>43</v>
      </c>
      <c r="H285" s="4" t="s">
        <v>85</v>
      </c>
      <c r="I285" s="4" t="s">
        <v>106</v>
      </c>
      <c r="J285" s="5">
        <f>IFERROR(VLOOKUP(K285,Docentes_Lista!$A$2:$C$212,2,FALSE),"")</f>
        <v>0</v>
      </c>
      <c r="K285" s="4"/>
      <c r="L285" s="2">
        <f>IFERROR(VLOOKUP(K285,Docentes_Lista!$A$2:$C$212,3,FALSE),"")</f>
        <v>0</v>
      </c>
    </row>
    <row r="286" spans="1:12" ht="30" customHeight="1">
      <c r="A286" s="2">
        <v>285</v>
      </c>
      <c r="B286" s="3" t="s">
        <v>153</v>
      </c>
      <c r="C286" s="3" t="s">
        <v>415</v>
      </c>
      <c r="D286" s="4" t="s">
        <v>416</v>
      </c>
      <c r="E286" s="3" t="s">
        <v>15</v>
      </c>
      <c r="F286" s="3" t="s">
        <v>84</v>
      </c>
      <c r="G286" s="3" t="s">
        <v>43</v>
      </c>
      <c r="H286" s="4" t="s">
        <v>85</v>
      </c>
      <c r="I286" s="4" t="s">
        <v>106</v>
      </c>
      <c r="J286" s="5">
        <f>IFERROR(VLOOKUP(K286,Docentes_Lista!$A$2:$C$212,2,FALSE),"")</f>
        <v>0</v>
      </c>
      <c r="K286" s="4"/>
      <c r="L286" s="2">
        <f>IFERROR(VLOOKUP(K286,Docentes_Lista!$A$2:$C$212,3,FALSE),"")</f>
        <v>0</v>
      </c>
    </row>
    <row r="287" spans="1:12" ht="30" customHeight="1">
      <c r="A287" s="2">
        <v>286</v>
      </c>
      <c r="B287" s="3" t="s">
        <v>153</v>
      </c>
      <c r="C287" s="3" t="s">
        <v>417</v>
      </c>
      <c r="D287" s="4" t="s">
        <v>418</v>
      </c>
      <c r="E287" s="3" t="s">
        <v>15</v>
      </c>
      <c r="F287" s="3" t="s">
        <v>84</v>
      </c>
      <c r="G287" s="3" t="s">
        <v>43</v>
      </c>
      <c r="H287" s="4" t="s">
        <v>85</v>
      </c>
      <c r="I287" s="4" t="s">
        <v>106</v>
      </c>
      <c r="J287" s="5">
        <f>IFERROR(VLOOKUP(K287,Docentes_Lista!$A$2:$C$212,2,FALSE),"")</f>
        <v>0</v>
      </c>
      <c r="K287" s="4"/>
      <c r="L287" s="2">
        <f>IFERROR(VLOOKUP(K287,Docentes_Lista!$A$2:$C$212,3,FALSE),"")</f>
        <v>0</v>
      </c>
    </row>
    <row r="288" spans="1:12" ht="30" customHeight="1">
      <c r="A288" s="2">
        <v>287</v>
      </c>
      <c r="B288" s="3" t="s">
        <v>148</v>
      </c>
      <c r="C288" s="3" t="s">
        <v>419</v>
      </c>
      <c r="D288" s="4" t="s">
        <v>420</v>
      </c>
      <c r="E288" s="3" t="s">
        <v>15</v>
      </c>
      <c r="F288" s="3" t="s">
        <v>84</v>
      </c>
      <c r="G288" s="3" t="s">
        <v>43</v>
      </c>
      <c r="H288" s="4" t="s">
        <v>85</v>
      </c>
      <c r="I288" s="4" t="s">
        <v>106</v>
      </c>
      <c r="J288" s="5">
        <f>IFERROR(VLOOKUP(K288,Docentes_Lista!$A$2:$C$212,2,FALSE),"")</f>
        <v>0</v>
      </c>
      <c r="K288" s="4"/>
      <c r="L288" s="2">
        <f>IFERROR(VLOOKUP(K288,Docentes_Lista!$A$2:$C$212,3,FALSE),"")</f>
        <v>0</v>
      </c>
    </row>
    <row r="289" spans="1:12" ht="30" customHeight="1">
      <c r="A289" s="2">
        <v>288</v>
      </c>
      <c r="B289" s="3" t="s">
        <v>148</v>
      </c>
      <c r="C289" s="3" t="s">
        <v>421</v>
      </c>
      <c r="D289" s="4" t="s">
        <v>422</v>
      </c>
      <c r="E289" s="3" t="s">
        <v>15</v>
      </c>
      <c r="F289" s="3" t="s">
        <v>119</v>
      </c>
      <c r="G289" s="3" t="s">
        <v>43</v>
      </c>
      <c r="H289" s="4" t="s">
        <v>85</v>
      </c>
      <c r="I289" s="4" t="s">
        <v>106</v>
      </c>
      <c r="J289" s="5">
        <f>IFERROR(VLOOKUP(K289,Docentes_Lista!$A$2:$C$212,2,FALSE),"")</f>
        <v>0</v>
      </c>
      <c r="K289" s="4"/>
      <c r="L289" s="2">
        <f>IFERROR(VLOOKUP(K289,Docentes_Lista!$A$2:$C$212,3,FALSE),"")</f>
        <v>0</v>
      </c>
    </row>
    <row r="290" spans="1:12" ht="30" customHeight="1">
      <c r="A290" s="2">
        <v>289</v>
      </c>
      <c r="B290" s="3" t="s">
        <v>148</v>
      </c>
      <c r="C290" s="3" t="s">
        <v>423</v>
      </c>
      <c r="D290" s="4" t="s">
        <v>424</v>
      </c>
      <c r="E290" s="3" t="s">
        <v>15</v>
      </c>
      <c r="F290" s="3" t="s">
        <v>84</v>
      </c>
      <c r="G290" s="3" t="s">
        <v>43</v>
      </c>
      <c r="H290" s="4" t="s">
        <v>85</v>
      </c>
      <c r="I290" s="4" t="s">
        <v>106</v>
      </c>
      <c r="J290" s="5">
        <f>IFERROR(VLOOKUP(K290,Docentes_Lista!$A$2:$C$212,2,FALSE),"")</f>
        <v>0</v>
      </c>
      <c r="K290" s="4"/>
      <c r="L290" s="2">
        <f>IFERROR(VLOOKUP(K290,Docentes_Lista!$A$2:$C$212,3,FALSE),"")</f>
        <v>0</v>
      </c>
    </row>
    <row r="291" spans="1:12" ht="30" customHeight="1">
      <c r="A291" s="2">
        <v>290</v>
      </c>
      <c r="B291" s="3" t="s">
        <v>148</v>
      </c>
      <c r="C291" s="3" t="s">
        <v>425</v>
      </c>
      <c r="D291" s="4" t="s">
        <v>426</v>
      </c>
      <c r="E291" s="3" t="s">
        <v>15</v>
      </c>
      <c r="F291" s="3" t="s">
        <v>119</v>
      </c>
      <c r="G291" s="3" t="s">
        <v>43</v>
      </c>
      <c r="H291" s="4" t="s">
        <v>85</v>
      </c>
      <c r="I291" s="4" t="s">
        <v>106</v>
      </c>
      <c r="J291" s="5">
        <f>IFERROR(VLOOKUP(K291,Docentes_Lista!$A$2:$C$212,2,FALSE),"")</f>
        <v>0</v>
      </c>
      <c r="K291" s="4"/>
      <c r="L291" s="2">
        <f>IFERROR(VLOOKUP(K291,Docentes_Lista!$A$2:$C$212,3,FALSE),"")</f>
        <v>0</v>
      </c>
    </row>
    <row r="292" spans="1:12" ht="30" customHeight="1">
      <c r="A292" s="2">
        <v>291</v>
      </c>
      <c r="B292" s="3" t="s">
        <v>153</v>
      </c>
      <c r="C292" s="3" t="s">
        <v>427</v>
      </c>
      <c r="D292" s="4" t="s">
        <v>428</v>
      </c>
      <c r="E292" s="3" t="s">
        <v>15</v>
      </c>
      <c r="F292" s="3" t="s">
        <v>119</v>
      </c>
      <c r="G292" s="3" t="s">
        <v>43</v>
      </c>
      <c r="H292" s="4" t="s">
        <v>85</v>
      </c>
      <c r="I292" s="4" t="s">
        <v>106</v>
      </c>
      <c r="J292" s="5">
        <f>IFERROR(VLOOKUP(K292,Docentes_Lista!$A$2:$C$212,2,FALSE),"")</f>
        <v>0</v>
      </c>
      <c r="K292" s="4"/>
      <c r="L292" s="2">
        <f>IFERROR(VLOOKUP(K292,Docentes_Lista!$A$2:$C$212,3,FALSE),"")</f>
        <v>0</v>
      </c>
    </row>
    <row r="293" spans="1:12" ht="30" customHeight="1">
      <c r="A293" s="2">
        <v>292</v>
      </c>
      <c r="B293" s="3" t="s">
        <v>148</v>
      </c>
      <c r="C293" s="3" t="s">
        <v>429</v>
      </c>
      <c r="D293" s="4" t="s">
        <v>430</v>
      </c>
      <c r="E293" s="3" t="s">
        <v>15</v>
      </c>
      <c r="F293" s="3" t="s">
        <v>84</v>
      </c>
      <c r="G293" s="3" t="s">
        <v>43</v>
      </c>
      <c r="H293" s="4" t="s">
        <v>85</v>
      </c>
      <c r="I293" s="4" t="s">
        <v>106</v>
      </c>
      <c r="J293" s="5">
        <f>IFERROR(VLOOKUP(K293,Docentes_Lista!$A$2:$C$212,2,FALSE),"")</f>
        <v>0</v>
      </c>
      <c r="K293" s="4"/>
      <c r="L293" s="2">
        <f>IFERROR(VLOOKUP(K293,Docentes_Lista!$A$2:$C$212,3,FALSE),"")</f>
        <v>0</v>
      </c>
    </row>
  </sheetData>
  <sheetProtection sheet="1" objects="1" scenarios="1"/>
  <dataValidations count="1">
    <dataValidation type="list" allowBlank="1" showInputMessage="1" showErrorMessage="1" sqref="K2:K293">
      <formula1>Docentes_Lista!$A$2:$A$212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2"/>
  <sheetViews>
    <sheetView workbookViewId="0"/>
  </sheetViews>
  <sheetFormatPr defaultRowHeight="15"/>
  <cols>
    <col min="1" max="1" width="30.7109375" customWidth="1"/>
    <col min="2" max="3" width="15.7109375" customWidth="1"/>
  </cols>
  <sheetData>
    <row r="1" spans="1:3">
      <c r="A1" s="6" t="s">
        <v>431</v>
      </c>
      <c r="B1" s="6" t="s">
        <v>432</v>
      </c>
      <c r="C1" s="6" t="s">
        <v>11</v>
      </c>
    </row>
    <row r="2" spans="1:3">
      <c r="A2" t="s">
        <v>433</v>
      </c>
      <c r="B2" t="s">
        <v>644</v>
      </c>
      <c r="C2">
        <v>1</v>
      </c>
    </row>
    <row r="3" spans="1:3">
      <c r="A3" t="s">
        <v>434</v>
      </c>
      <c r="B3" t="s">
        <v>644</v>
      </c>
      <c r="C3">
        <v>2</v>
      </c>
    </row>
    <row r="4" spans="1:3">
      <c r="A4" t="s">
        <v>435</v>
      </c>
      <c r="B4" t="s">
        <v>644</v>
      </c>
      <c r="C4">
        <v>3</v>
      </c>
    </row>
    <row r="5" spans="1:3">
      <c r="A5" t="s">
        <v>436</v>
      </c>
      <c r="B5" t="s">
        <v>644</v>
      </c>
      <c r="C5">
        <v>4</v>
      </c>
    </row>
    <row r="6" spans="1:3">
      <c r="A6" t="s">
        <v>437</v>
      </c>
      <c r="B6" t="s">
        <v>645</v>
      </c>
      <c r="C6">
        <v>5</v>
      </c>
    </row>
    <row r="7" spans="1:3">
      <c r="A7" t="s">
        <v>438</v>
      </c>
      <c r="B7" t="s">
        <v>644</v>
      </c>
      <c r="C7">
        <v>7</v>
      </c>
    </row>
    <row r="8" spans="1:3">
      <c r="A8" t="s">
        <v>439</v>
      </c>
      <c r="B8" t="s">
        <v>645</v>
      </c>
      <c r="C8">
        <v>9</v>
      </c>
    </row>
    <row r="9" spans="1:3">
      <c r="A9" t="s">
        <v>440</v>
      </c>
      <c r="B9" t="s">
        <v>645</v>
      </c>
      <c r="C9">
        <v>8</v>
      </c>
    </row>
    <row r="10" spans="1:3">
      <c r="A10" t="s">
        <v>441</v>
      </c>
      <c r="B10" t="s">
        <v>645</v>
      </c>
      <c r="C10">
        <v>10</v>
      </c>
    </row>
    <row r="11" spans="1:3">
      <c r="A11" t="s">
        <v>442</v>
      </c>
      <c r="B11" t="s">
        <v>645</v>
      </c>
      <c r="C11">
        <v>11</v>
      </c>
    </row>
    <row r="12" spans="1:3">
      <c r="A12" t="s">
        <v>443</v>
      </c>
      <c r="B12" t="s">
        <v>645</v>
      </c>
      <c r="C12">
        <v>12</v>
      </c>
    </row>
    <row r="13" spans="1:3">
      <c r="A13" t="s">
        <v>444</v>
      </c>
      <c r="B13" t="s">
        <v>646</v>
      </c>
      <c r="C13">
        <v>13</v>
      </c>
    </row>
    <row r="14" spans="1:3">
      <c r="A14" t="s">
        <v>445</v>
      </c>
      <c r="B14" t="s">
        <v>644</v>
      </c>
      <c r="C14">
        <v>17</v>
      </c>
    </row>
    <row r="15" spans="1:3">
      <c r="A15" t="s">
        <v>446</v>
      </c>
      <c r="B15" t="s">
        <v>644</v>
      </c>
      <c r="C15">
        <v>14</v>
      </c>
    </row>
    <row r="16" spans="1:3">
      <c r="A16" t="s">
        <v>447</v>
      </c>
      <c r="B16" t="s">
        <v>646</v>
      </c>
      <c r="C16">
        <v>15</v>
      </c>
    </row>
    <row r="17" spans="1:3">
      <c r="A17" t="s">
        <v>448</v>
      </c>
      <c r="B17" t="s">
        <v>645</v>
      </c>
      <c r="C17">
        <v>18</v>
      </c>
    </row>
    <row r="18" spans="1:3">
      <c r="A18" t="s">
        <v>449</v>
      </c>
      <c r="B18" t="s">
        <v>647</v>
      </c>
      <c r="C18">
        <v>19</v>
      </c>
    </row>
    <row r="19" spans="1:3">
      <c r="A19" t="s">
        <v>450</v>
      </c>
      <c r="B19" t="s">
        <v>644</v>
      </c>
      <c r="C19">
        <v>20</v>
      </c>
    </row>
    <row r="20" spans="1:3">
      <c r="A20" t="s">
        <v>451</v>
      </c>
      <c r="B20" t="s">
        <v>645</v>
      </c>
      <c r="C20">
        <v>21</v>
      </c>
    </row>
    <row r="21" spans="1:3">
      <c r="A21" t="s">
        <v>452</v>
      </c>
      <c r="B21" t="s">
        <v>647</v>
      </c>
      <c r="C21">
        <v>22</v>
      </c>
    </row>
    <row r="22" spans="1:3">
      <c r="A22" t="s">
        <v>453</v>
      </c>
      <c r="B22" t="s">
        <v>644</v>
      </c>
      <c r="C22">
        <v>23</v>
      </c>
    </row>
    <row r="23" spans="1:3">
      <c r="A23" t="s">
        <v>454</v>
      </c>
      <c r="B23" t="s">
        <v>644</v>
      </c>
      <c r="C23">
        <v>24</v>
      </c>
    </row>
    <row r="24" spans="1:3">
      <c r="A24" t="s">
        <v>455</v>
      </c>
      <c r="B24" t="s">
        <v>644</v>
      </c>
      <c r="C24">
        <v>25</v>
      </c>
    </row>
    <row r="25" spans="1:3">
      <c r="A25" t="s">
        <v>456</v>
      </c>
      <c r="B25" t="s">
        <v>647</v>
      </c>
      <c r="C25">
        <v>26</v>
      </c>
    </row>
    <row r="26" spans="1:3">
      <c r="A26" t="s">
        <v>457</v>
      </c>
      <c r="B26" t="s">
        <v>644</v>
      </c>
      <c r="C26">
        <v>27</v>
      </c>
    </row>
    <row r="27" spans="1:3">
      <c r="A27" t="s">
        <v>458</v>
      </c>
      <c r="B27" t="s">
        <v>644</v>
      </c>
      <c r="C27">
        <v>28</v>
      </c>
    </row>
    <row r="28" spans="1:3">
      <c r="A28" t="s">
        <v>459</v>
      </c>
      <c r="B28" t="s">
        <v>646</v>
      </c>
      <c r="C28">
        <v>29</v>
      </c>
    </row>
    <row r="29" spans="1:3">
      <c r="A29" t="s">
        <v>460</v>
      </c>
      <c r="B29" t="s">
        <v>645</v>
      </c>
      <c r="C29">
        <v>30</v>
      </c>
    </row>
    <row r="30" spans="1:3">
      <c r="A30" t="s">
        <v>461</v>
      </c>
      <c r="B30" t="s">
        <v>647</v>
      </c>
      <c r="C30">
        <v>204</v>
      </c>
    </row>
    <row r="31" spans="1:3">
      <c r="A31" t="s">
        <v>462</v>
      </c>
      <c r="B31" t="s">
        <v>648</v>
      </c>
      <c r="C31">
        <v>34</v>
      </c>
    </row>
    <row r="32" spans="1:3">
      <c r="A32" t="s">
        <v>463</v>
      </c>
      <c r="B32" t="s">
        <v>648</v>
      </c>
      <c r="C32">
        <v>35</v>
      </c>
    </row>
    <row r="33" spans="1:3">
      <c r="A33" t="s">
        <v>464</v>
      </c>
      <c r="B33" t="s">
        <v>644</v>
      </c>
      <c r="C33">
        <v>31</v>
      </c>
    </row>
    <row r="34" spans="1:3">
      <c r="A34" t="s">
        <v>465</v>
      </c>
      <c r="B34" t="s">
        <v>644</v>
      </c>
      <c r="C34">
        <v>32</v>
      </c>
    </row>
    <row r="35" spans="1:3">
      <c r="A35" t="s">
        <v>466</v>
      </c>
      <c r="B35" t="s">
        <v>644</v>
      </c>
      <c r="C35">
        <v>33</v>
      </c>
    </row>
    <row r="36" spans="1:3">
      <c r="A36" t="s">
        <v>467</v>
      </c>
      <c r="B36" t="s">
        <v>644</v>
      </c>
      <c r="C36">
        <v>36</v>
      </c>
    </row>
    <row r="37" spans="1:3">
      <c r="A37" t="s">
        <v>468</v>
      </c>
      <c r="B37" t="s">
        <v>644</v>
      </c>
      <c r="C37">
        <v>37</v>
      </c>
    </row>
    <row r="38" spans="1:3">
      <c r="A38" t="s">
        <v>469</v>
      </c>
      <c r="B38" t="s">
        <v>647</v>
      </c>
      <c r="C38">
        <v>38</v>
      </c>
    </row>
    <row r="39" spans="1:3">
      <c r="A39" t="s">
        <v>470</v>
      </c>
      <c r="B39" t="s">
        <v>647</v>
      </c>
      <c r="C39">
        <v>39</v>
      </c>
    </row>
    <row r="40" spans="1:3">
      <c r="A40" t="s">
        <v>471</v>
      </c>
      <c r="B40" t="s">
        <v>644</v>
      </c>
      <c r="C40">
        <v>40</v>
      </c>
    </row>
    <row r="41" spans="1:3">
      <c r="A41" t="s">
        <v>472</v>
      </c>
      <c r="B41" t="s">
        <v>644</v>
      </c>
      <c r="C41">
        <v>41</v>
      </c>
    </row>
    <row r="42" spans="1:3">
      <c r="A42" t="s">
        <v>473</v>
      </c>
      <c r="B42" t="s">
        <v>645</v>
      </c>
      <c r="C42">
        <v>42</v>
      </c>
    </row>
    <row r="43" spans="1:3">
      <c r="A43" t="s">
        <v>474</v>
      </c>
      <c r="B43" t="s">
        <v>645</v>
      </c>
      <c r="C43">
        <v>43</v>
      </c>
    </row>
    <row r="44" spans="1:3">
      <c r="A44" t="s">
        <v>475</v>
      </c>
      <c r="B44" t="s">
        <v>648</v>
      </c>
      <c r="C44">
        <v>44</v>
      </c>
    </row>
    <row r="45" spans="1:3">
      <c r="A45" t="s">
        <v>476</v>
      </c>
      <c r="B45" t="s">
        <v>646</v>
      </c>
      <c r="C45">
        <v>45</v>
      </c>
    </row>
    <row r="46" spans="1:3">
      <c r="A46" t="s">
        <v>477</v>
      </c>
      <c r="B46" t="s">
        <v>644</v>
      </c>
      <c r="C46">
        <v>46</v>
      </c>
    </row>
    <row r="47" spans="1:3">
      <c r="A47" t="s">
        <v>478</v>
      </c>
      <c r="B47" t="s">
        <v>644</v>
      </c>
      <c r="C47">
        <v>47</v>
      </c>
    </row>
    <row r="48" spans="1:3">
      <c r="A48" t="s">
        <v>479</v>
      </c>
      <c r="B48" t="s">
        <v>644</v>
      </c>
      <c r="C48">
        <v>48</v>
      </c>
    </row>
    <row r="49" spans="1:3">
      <c r="A49" t="s">
        <v>480</v>
      </c>
      <c r="B49" t="s">
        <v>644</v>
      </c>
      <c r="C49">
        <v>49</v>
      </c>
    </row>
    <row r="50" spans="1:3">
      <c r="A50" t="s">
        <v>481</v>
      </c>
      <c r="B50" t="s">
        <v>644</v>
      </c>
      <c r="C50">
        <v>50</v>
      </c>
    </row>
    <row r="51" spans="1:3">
      <c r="A51" t="s">
        <v>482</v>
      </c>
      <c r="B51" t="s">
        <v>644</v>
      </c>
      <c r="C51">
        <v>51</v>
      </c>
    </row>
    <row r="52" spans="1:3">
      <c r="A52" t="s">
        <v>483</v>
      </c>
      <c r="B52" t="s">
        <v>644</v>
      </c>
      <c r="C52">
        <v>52</v>
      </c>
    </row>
    <row r="53" spans="1:3">
      <c r="A53" t="s">
        <v>484</v>
      </c>
      <c r="B53" t="s">
        <v>645</v>
      </c>
      <c r="C53">
        <v>53</v>
      </c>
    </row>
    <row r="54" spans="1:3">
      <c r="A54" t="s">
        <v>485</v>
      </c>
      <c r="B54" t="s">
        <v>644</v>
      </c>
      <c r="C54">
        <v>54</v>
      </c>
    </row>
    <row r="55" spans="1:3">
      <c r="A55" t="s">
        <v>486</v>
      </c>
      <c r="B55" t="s">
        <v>647</v>
      </c>
      <c r="C55">
        <v>55</v>
      </c>
    </row>
    <row r="56" spans="1:3">
      <c r="A56" t="s">
        <v>487</v>
      </c>
      <c r="B56" t="s">
        <v>644</v>
      </c>
      <c r="C56">
        <v>56</v>
      </c>
    </row>
    <row r="57" spans="1:3">
      <c r="A57" t="s">
        <v>488</v>
      </c>
      <c r="B57" t="s">
        <v>649</v>
      </c>
      <c r="C57">
        <v>57</v>
      </c>
    </row>
    <row r="58" spans="1:3">
      <c r="A58" t="s">
        <v>489</v>
      </c>
      <c r="B58" t="s">
        <v>648</v>
      </c>
      <c r="C58">
        <v>58</v>
      </c>
    </row>
    <row r="59" spans="1:3">
      <c r="A59" t="s">
        <v>490</v>
      </c>
      <c r="B59" t="s">
        <v>644</v>
      </c>
      <c r="C59">
        <v>59</v>
      </c>
    </row>
    <row r="60" spans="1:3">
      <c r="A60" t="s">
        <v>491</v>
      </c>
      <c r="B60" t="s">
        <v>644</v>
      </c>
      <c r="C60">
        <v>60</v>
      </c>
    </row>
    <row r="61" spans="1:3">
      <c r="A61" t="s">
        <v>492</v>
      </c>
      <c r="B61" t="s">
        <v>644</v>
      </c>
      <c r="C61">
        <v>61</v>
      </c>
    </row>
    <row r="62" spans="1:3">
      <c r="A62" t="s">
        <v>493</v>
      </c>
      <c r="B62" t="s">
        <v>644</v>
      </c>
      <c r="C62">
        <v>62</v>
      </c>
    </row>
    <row r="63" spans="1:3">
      <c r="A63" t="s">
        <v>494</v>
      </c>
      <c r="B63" t="s">
        <v>644</v>
      </c>
      <c r="C63">
        <v>63</v>
      </c>
    </row>
    <row r="64" spans="1:3">
      <c r="A64" t="s">
        <v>495</v>
      </c>
      <c r="B64" t="s">
        <v>647</v>
      </c>
      <c r="C64">
        <v>64</v>
      </c>
    </row>
    <row r="65" spans="1:3">
      <c r="A65" t="s">
        <v>496</v>
      </c>
      <c r="B65" t="s">
        <v>647</v>
      </c>
      <c r="C65">
        <v>65</v>
      </c>
    </row>
    <row r="66" spans="1:3">
      <c r="A66" t="s">
        <v>497</v>
      </c>
      <c r="B66" t="s">
        <v>644</v>
      </c>
      <c r="C66">
        <v>66</v>
      </c>
    </row>
    <row r="67" spans="1:3">
      <c r="A67" t="s">
        <v>498</v>
      </c>
      <c r="B67" t="s">
        <v>647</v>
      </c>
      <c r="C67">
        <v>67</v>
      </c>
    </row>
    <row r="68" spans="1:3">
      <c r="A68" t="s">
        <v>499</v>
      </c>
      <c r="B68" t="s">
        <v>644</v>
      </c>
      <c r="C68">
        <v>68</v>
      </c>
    </row>
    <row r="69" spans="1:3">
      <c r="A69" t="s">
        <v>500</v>
      </c>
      <c r="B69" t="s">
        <v>648</v>
      </c>
      <c r="C69">
        <v>69</v>
      </c>
    </row>
    <row r="70" spans="1:3">
      <c r="A70" t="s">
        <v>501</v>
      </c>
      <c r="B70" t="s">
        <v>644</v>
      </c>
      <c r="C70">
        <v>205</v>
      </c>
    </row>
    <row r="71" spans="1:3">
      <c r="A71" t="s">
        <v>502</v>
      </c>
      <c r="B71" t="s">
        <v>644</v>
      </c>
      <c r="C71">
        <v>70</v>
      </c>
    </row>
    <row r="72" spans="1:3">
      <c r="A72" t="s">
        <v>503</v>
      </c>
      <c r="B72" t="s">
        <v>647</v>
      </c>
      <c r="C72">
        <v>71</v>
      </c>
    </row>
    <row r="73" spans="1:3">
      <c r="A73" t="s">
        <v>504</v>
      </c>
      <c r="B73" t="s">
        <v>646</v>
      </c>
      <c r="C73">
        <v>72</v>
      </c>
    </row>
    <row r="74" spans="1:3">
      <c r="A74" t="s">
        <v>505</v>
      </c>
      <c r="B74" t="s">
        <v>645</v>
      </c>
      <c r="C74">
        <v>73</v>
      </c>
    </row>
    <row r="75" spans="1:3">
      <c r="A75" t="s">
        <v>506</v>
      </c>
      <c r="B75" t="s">
        <v>645</v>
      </c>
      <c r="C75">
        <v>74</v>
      </c>
    </row>
    <row r="76" spans="1:3">
      <c r="A76" t="s">
        <v>507</v>
      </c>
      <c r="B76" t="s">
        <v>644</v>
      </c>
      <c r="C76">
        <v>75</v>
      </c>
    </row>
    <row r="77" spans="1:3">
      <c r="A77" t="s">
        <v>508</v>
      </c>
      <c r="B77" t="s">
        <v>646</v>
      </c>
      <c r="C77">
        <v>76</v>
      </c>
    </row>
    <row r="78" spans="1:3">
      <c r="A78" t="s">
        <v>509</v>
      </c>
      <c r="B78" t="s">
        <v>647</v>
      </c>
      <c r="C78">
        <v>77</v>
      </c>
    </row>
    <row r="79" spans="1:3">
      <c r="A79" t="s">
        <v>510</v>
      </c>
      <c r="B79" t="s">
        <v>647</v>
      </c>
      <c r="C79">
        <v>79</v>
      </c>
    </row>
    <row r="80" spans="1:3">
      <c r="A80" t="s">
        <v>511</v>
      </c>
      <c r="B80" t="s">
        <v>647</v>
      </c>
      <c r="C80">
        <v>80</v>
      </c>
    </row>
    <row r="81" spans="1:3">
      <c r="A81" t="s">
        <v>512</v>
      </c>
      <c r="B81" t="s">
        <v>644</v>
      </c>
      <c r="C81">
        <v>81</v>
      </c>
    </row>
    <row r="82" spans="1:3">
      <c r="A82" t="s">
        <v>513</v>
      </c>
      <c r="B82" t="s">
        <v>644</v>
      </c>
      <c r="C82">
        <v>78</v>
      </c>
    </row>
    <row r="83" spans="1:3">
      <c r="A83" t="s">
        <v>514</v>
      </c>
      <c r="B83" t="s">
        <v>645</v>
      </c>
      <c r="C83">
        <v>82</v>
      </c>
    </row>
    <row r="84" spans="1:3">
      <c r="A84" t="s">
        <v>515</v>
      </c>
      <c r="B84" t="s">
        <v>646</v>
      </c>
      <c r="C84">
        <v>83</v>
      </c>
    </row>
    <row r="85" spans="1:3">
      <c r="A85" t="s">
        <v>516</v>
      </c>
      <c r="B85" t="s">
        <v>648</v>
      </c>
      <c r="C85">
        <v>84</v>
      </c>
    </row>
    <row r="86" spans="1:3">
      <c r="A86" t="s">
        <v>517</v>
      </c>
      <c r="B86" t="s">
        <v>644</v>
      </c>
      <c r="C86">
        <v>85</v>
      </c>
    </row>
    <row r="87" spans="1:3">
      <c r="A87" t="s">
        <v>518</v>
      </c>
      <c r="B87" t="s">
        <v>644</v>
      </c>
      <c r="C87">
        <v>86</v>
      </c>
    </row>
    <row r="88" spans="1:3">
      <c r="A88" t="s">
        <v>519</v>
      </c>
      <c r="B88" t="s">
        <v>644</v>
      </c>
      <c r="C88">
        <v>87</v>
      </c>
    </row>
    <row r="89" spans="1:3">
      <c r="A89" t="s">
        <v>520</v>
      </c>
      <c r="B89" t="s">
        <v>647</v>
      </c>
      <c r="C89">
        <v>88</v>
      </c>
    </row>
    <row r="90" spans="1:3">
      <c r="A90" t="s">
        <v>521</v>
      </c>
      <c r="B90" t="s">
        <v>644</v>
      </c>
      <c r="C90">
        <v>89</v>
      </c>
    </row>
    <row r="91" spans="1:3">
      <c r="A91" t="s">
        <v>522</v>
      </c>
      <c r="B91" t="s">
        <v>644</v>
      </c>
      <c r="C91">
        <v>90</v>
      </c>
    </row>
    <row r="92" spans="1:3">
      <c r="A92" t="s">
        <v>523</v>
      </c>
      <c r="B92" t="s">
        <v>647</v>
      </c>
      <c r="C92">
        <v>91</v>
      </c>
    </row>
    <row r="93" spans="1:3">
      <c r="A93" t="s">
        <v>524</v>
      </c>
      <c r="B93" t="s">
        <v>648</v>
      </c>
      <c r="C93">
        <v>92</v>
      </c>
    </row>
    <row r="94" spans="1:3">
      <c r="A94" t="s">
        <v>525</v>
      </c>
      <c r="B94" t="s">
        <v>644</v>
      </c>
      <c r="C94">
        <v>93</v>
      </c>
    </row>
    <row r="95" spans="1:3">
      <c r="A95" t="s">
        <v>526</v>
      </c>
      <c r="B95" t="s">
        <v>647</v>
      </c>
      <c r="C95">
        <v>94</v>
      </c>
    </row>
    <row r="96" spans="1:3">
      <c r="A96" t="s">
        <v>527</v>
      </c>
      <c r="B96" t="s">
        <v>644</v>
      </c>
      <c r="C96">
        <v>95</v>
      </c>
    </row>
    <row r="97" spans="1:3">
      <c r="A97" t="s">
        <v>528</v>
      </c>
      <c r="B97" t="s">
        <v>644</v>
      </c>
      <c r="C97">
        <v>110</v>
      </c>
    </row>
    <row r="98" spans="1:3">
      <c r="A98" t="s">
        <v>529</v>
      </c>
      <c r="B98" t="s">
        <v>644</v>
      </c>
      <c r="C98">
        <v>96</v>
      </c>
    </row>
    <row r="99" spans="1:3">
      <c r="A99" t="s">
        <v>530</v>
      </c>
      <c r="B99" t="s">
        <v>647</v>
      </c>
      <c r="C99">
        <v>97</v>
      </c>
    </row>
    <row r="100" spans="1:3">
      <c r="A100" t="s">
        <v>531</v>
      </c>
      <c r="B100" t="s">
        <v>644</v>
      </c>
      <c r="C100">
        <v>98</v>
      </c>
    </row>
    <row r="101" spans="1:3">
      <c r="A101" t="s">
        <v>532</v>
      </c>
      <c r="B101" t="s">
        <v>644</v>
      </c>
      <c r="C101">
        <v>99</v>
      </c>
    </row>
    <row r="102" spans="1:3">
      <c r="A102" t="s">
        <v>533</v>
      </c>
      <c r="B102" t="s">
        <v>644</v>
      </c>
      <c r="C102">
        <v>100</v>
      </c>
    </row>
    <row r="103" spans="1:3">
      <c r="A103" t="s">
        <v>534</v>
      </c>
      <c r="B103" t="s">
        <v>647</v>
      </c>
      <c r="C103">
        <v>101</v>
      </c>
    </row>
    <row r="104" spans="1:3">
      <c r="A104" t="s">
        <v>535</v>
      </c>
      <c r="B104" t="s">
        <v>644</v>
      </c>
      <c r="C104">
        <v>102</v>
      </c>
    </row>
    <row r="105" spans="1:3">
      <c r="A105" t="s">
        <v>536</v>
      </c>
      <c r="B105" t="s">
        <v>644</v>
      </c>
      <c r="C105">
        <v>103</v>
      </c>
    </row>
    <row r="106" spans="1:3">
      <c r="A106" t="s">
        <v>537</v>
      </c>
      <c r="B106" t="s">
        <v>644</v>
      </c>
      <c r="C106">
        <v>104</v>
      </c>
    </row>
    <row r="107" spans="1:3">
      <c r="A107" t="s">
        <v>538</v>
      </c>
      <c r="B107" t="s">
        <v>644</v>
      </c>
      <c r="C107">
        <v>105</v>
      </c>
    </row>
    <row r="108" spans="1:3">
      <c r="A108" t="s">
        <v>539</v>
      </c>
      <c r="B108" t="s">
        <v>647</v>
      </c>
      <c r="C108">
        <v>106</v>
      </c>
    </row>
    <row r="109" spans="1:3">
      <c r="A109" t="s">
        <v>540</v>
      </c>
      <c r="B109" t="s">
        <v>644</v>
      </c>
      <c r="C109">
        <v>211</v>
      </c>
    </row>
    <row r="110" spans="1:3">
      <c r="A110" t="s">
        <v>541</v>
      </c>
      <c r="B110" t="s">
        <v>644</v>
      </c>
      <c r="C110">
        <v>210</v>
      </c>
    </row>
    <row r="111" spans="1:3">
      <c r="A111" t="s">
        <v>542</v>
      </c>
      <c r="B111" t="s">
        <v>644</v>
      </c>
      <c r="C111">
        <v>107</v>
      </c>
    </row>
    <row r="112" spans="1:3">
      <c r="A112" t="s">
        <v>543</v>
      </c>
      <c r="B112" t="s">
        <v>644</v>
      </c>
      <c r="C112">
        <v>108</v>
      </c>
    </row>
    <row r="113" spans="1:3">
      <c r="A113" t="s">
        <v>544</v>
      </c>
      <c r="B113" t="s">
        <v>644</v>
      </c>
      <c r="C113">
        <v>109</v>
      </c>
    </row>
    <row r="114" spans="1:3">
      <c r="A114" t="s">
        <v>545</v>
      </c>
      <c r="B114" t="s">
        <v>647</v>
      </c>
      <c r="C114">
        <v>111</v>
      </c>
    </row>
    <row r="115" spans="1:3">
      <c r="A115" t="s">
        <v>546</v>
      </c>
      <c r="B115" t="s">
        <v>644</v>
      </c>
      <c r="C115">
        <v>112</v>
      </c>
    </row>
    <row r="116" spans="1:3">
      <c r="A116" t="s">
        <v>547</v>
      </c>
      <c r="B116" t="s">
        <v>645</v>
      </c>
      <c r="C116">
        <v>113</v>
      </c>
    </row>
    <row r="117" spans="1:3">
      <c r="A117" t="s">
        <v>548</v>
      </c>
      <c r="B117" t="s">
        <v>644</v>
      </c>
      <c r="C117">
        <v>114</v>
      </c>
    </row>
    <row r="118" spans="1:3">
      <c r="A118" t="s">
        <v>549</v>
      </c>
      <c r="B118" t="s">
        <v>644</v>
      </c>
      <c r="C118">
        <v>115</v>
      </c>
    </row>
    <row r="119" spans="1:3">
      <c r="A119" t="s">
        <v>550</v>
      </c>
      <c r="B119" t="s">
        <v>644</v>
      </c>
      <c r="C119">
        <v>116</v>
      </c>
    </row>
    <row r="120" spans="1:3">
      <c r="A120" t="s">
        <v>551</v>
      </c>
      <c r="B120" t="s">
        <v>645</v>
      </c>
      <c r="C120">
        <v>117</v>
      </c>
    </row>
    <row r="121" spans="1:3">
      <c r="A121" t="s">
        <v>552</v>
      </c>
      <c r="B121" t="s">
        <v>645</v>
      </c>
      <c r="C121">
        <v>118</v>
      </c>
    </row>
    <row r="122" spans="1:3">
      <c r="A122" t="s">
        <v>553</v>
      </c>
      <c r="B122" t="s">
        <v>647</v>
      </c>
      <c r="C122">
        <v>119</v>
      </c>
    </row>
    <row r="123" spans="1:3">
      <c r="A123" t="s">
        <v>554</v>
      </c>
      <c r="B123" t="s">
        <v>645</v>
      </c>
      <c r="C123">
        <v>120</v>
      </c>
    </row>
    <row r="124" spans="1:3">
      <c r="A124" t="s">
        <v>555</v>
      </c>
      <c r="B124" t="s">
        <v>645</v>
      </c>
      <c r="C124">
        <v>121</v>
      </c>
    </row>
    <row r="125" spans="1:3">
      <c r="A125" t="s">
        <v>556</v>
      </c>
      <c r="B125" t="s">
        <v>647</v>
      </c>
      <c r="C125">
        <v>209</v>
      </c>
    </row>
    <row r="126" spans="1:3">
      <c r="A126" t="s">
        <v>557</v>
      </c>
      <c r="B126" t="s">
        <v>644</v>
      </c>
      <c r="C126">
        <v>122</v>
      </c>
    </row>
    <row r="127" spans="1:3">
      <c r="A127" t="s">
        <v>558</v>
      </c>
      <c r="B127" t="s">
        <v>644</v>
      </c>
      <c r="C127">
        <v>123</v>
      </c>
    </row>
    <row r="128" spans="1:3">
      <c r="A128" t="s">
        <v>559</v>
      </c>
      <c r="B128" t="s">
        <v>647</v>
      </c>
      <c r="C128">
        <v>124</v>
      </c>
    </row>
    <row r="129" spans="1:3">
      <c r="A129" t="s">
        <v>560</v>
      </c>
      <c r="B129" t="s">
        <v>644</v>
      </c>
      <c r="C129">
        <v>125</v>
      </c>
    </row>
    <row r="130" spans="1:3">
      <c r="A130" t="s">
        <v>561</v>
      </c>
      <c r="B130" t="s">
        <v>646</v>
      </c>
      <c r="C130">
        <v>126</v>
      </c>
    </row>
    <row r="131" spans="1:3">
      <c r="A131" t="s">
        <v>562</v>
      </c>
      <c r="B131" t="s">
        <v>644</v>
      </c>
      <c r="C131">
        <v>128</v>
      </c>
    </row>
    <row r="132" spans="1:3">
      <c r="A132" t="s">
        <v>563</v>
      </c>
      <c r="B132" t="s">
        <v>648</v>
      </c>
      <c r="C132">
        <v>129</v>
      </c>
    </row>
    <row r="133" spans="1:3">
      <c r="A133" t="s">
        <v>564</v>
      </c>
      <c r="B133" t="s">
        <v>644</v>
      </c>
      <c r="C133">
        <v>130</v>
      </c>
    </row>
    <row r="134" spans="1:3">
      <c r="A134" t="s">
        <v>565</v>
      </c>
      <c r="B134" t="s">
        <v>647</v>
      </c>
      <c r="C134">
        <v>131</v>
      </c>
    </row>
    <row r="135" spans="1:3">
      <c r="A135" t="s">
        <v>566</v>
      </c>
      <c r="B135" t="s">
        <v>644</v>
      </c>
      <c r="C135">
        <v>132</v>
      </c>
    </row>
    <row r="136" spans="1:3">
      <c r="A136" t="s">
        <v>567</v>
      </c>
      <c r="B136" t="s">
        <v>648</v>
      </c>
      <c r="C136">
        <v>133</v>
      </c>
    </row>
    <row r="137" spans="1:3">
      <c r="A137" t="s">
        <v>568</v>
      </c>
      <c r="B137" t="s">
        <v>644</v>
      </c>
      <c r="C137">
        <v>136</v>
      </c>
    </row>
    <row r="138" spans="1:3">
      <c r="A138" t="s">
        <v>569</v>
      </c>
      <c r="B138" t="s">
        <v>644</v>
      </c>
      <c r="C138">
        <v>137</v>
      </c>
    </row>
    <row r="139" spans="1:3">
      <c r="A139" t="s">
        <v>570</v>
      </c>
      <c r="B139" t="s">
        <v>644</v>
      </c>
      <c r="C139">
        <v>138</v>
      </c>
    </row>
    <row r="140" spans="1:3">
      <c r="A140" t="s">
        <v>571</v>
      </c>
      <c r="B140" t="s">
        <v>644</v>
      </c>
      <c r="C140">
        <v>139</v>
      </c>
    </row>
    <row r="141" spans="1:3">
      <c r="A141" t="s">
        <v>572</v>
      </c>
      <c r="B141" t="s">
        <v>644</v>
      </c>
      <c r="C141">
        <v>140</v>
      </c>
    </row>
    <row r="142" spans="1:3">
      <c r="A142" t="s">
        <v>573</v>
      </c>
      <c r="B142" t="s">
        <v>648</v>
      </c>
      <c r="C142">
        <v>141</v>
      </c>
    </row>
    <row r="143" spans="1:3">
      <c r="A143" t="s">
        <v>574</v>
      </c>
      <c r="B143" t="s">
        <v>645</v>
      </c>
      <c r="C143">
        <v>142</v>
      </c>
    </row>
    <row r="144" spans="1:3">
      <c r="A144" t="s">
        <v>575</v>
      </c>
      <c r="B144" t="s">
        <v>645</v>
      </c>
      <c r="C144">
        <v>143</v>
      </c>
    </row>
    <row r="145" spans="1:3">
      <c r="A145" t="s">
        <v>576</v>
      </c>
      <c r="B145" t="s">
        <v>647</v>
      </c>
      <c r="C145">
        <v>208</v>
      </c>
    </row>
    <row r="146" spans="1:3">
      <c r="A146" t="s">
        <v>577</v>
      </c>
      <c r="B146" t="s">
        <v>645</v>
      </c>
      <c r="C146">
        <v>134</v>
      </c>
    </row>
    <row r="147" spans="1:3">
      <c r="A147" t="s">
        <v>578</v>
      </c>
      <c r="B147" t="s">
        <v>645</v>
      </c>
      <c r="C147">
        <v>135</v>
      </c>
    </row>
    <row r="148" spans="1:3">
      <c r="A148" t="s">
        <v>579</v>
      </c>
      <c r="B148" t="s">
        <v>647</v>
      </c>
      <c r="C148">
        <v>144</v>
      </c>
    </row>
    <row r="149" spans="1:3">
      <c r="A149" t="s">
        <v>580</v>
      </c>
      <c r="B149" t="s">
        <v>647</v>
      </c>
      <c r="C149">
        <v>145</v>
      </c>
    </row>
    <row r="150" spans="1:3">
      <c r="A150" t="s">
        <v>581</v>
      </c>
      <c r="B150" t="s">
        <v>644</v>
      </c>
      <c r="C150">
        <v>146</v>
      </c>
    </row>
    <row r="151" spans="1:3">
      <c r="A151" t="s">
        <v>582</v>
      </c>
      <c r="B151" t="s">
        <v>644</v>
      </c>
      <c r="C151">
        <v>147</v>
      </c>
    </row>
    <row r="152" spans="1:3">
      <c r="A152" t="s">
        <v>583</v>
      </c>
      <c r="B152" t="s">
        <v>645</v>
      </c>
      <c r="C152">
        <v>148</v>
      </c>
    </row>
    <row r="153" spans="1:3">
      <c r="A153" t="s">
        <v>584</v>
      </c>
      <c r="B153" t="s">
        <v>648</v>
      </c>
      <c r="C153">
        <v>127</v>
      </c>
    </row>
    <row r="154" spans="1:3">
      <c r="A154" t="s">
        <v>585</v>
      </c>
      <c r="B154" t="s">
        <v>645</v>
      </c>
      <c r="C154">
        <v>149</v>
      </c>
    </row>
    <row r="155" spans="1:3">
      <c r="A155" t="s">
        <v>586</v>
      </c>
      <c r="B155" t="s">
        <v>644</v>
      </c>
      <c r="C155">
        <v>150</v>
      </c>
    </row>
    <row r="156" spans="1:3">
      <c r="A156" t="s">
        <v>587</v>
      </c>
      <c r="B156" t="s">
        <v>645</v>
      </c>
      <c r="C156">
        <v>151</v>
      </c>
    </row>
    <row r="157" spans="1:3">
      <c r="A157" t="s">
        <v>588</v>
      </c>
      <c r="B157" t="s">
        <v>644</v>
      </c>
      <c r="C157">
        <v>152</v>
      </c>
    </row>
    <row r="158" spans="1:3">
      <c r="A158" t="s">
        <v>589</v>
      </c>
      <c r="B158" t="s">
        <v>644</v>
      </c>
      <c r="C158">
        <v>153</v>
      </c>
    </row>
    <row r="159" spans="1:3">
      <c r="A159" t="s">
        <v>590</v>
      </c>
      <c r="B159" t="s">
        <v>644</v>
      </c>
      <c r="C159">
        <v>154</v>
      </c>
    </row>
    <row r="160" spans="1:3">
      <c r="A160" t="s">
        <v>591</v>
      </c>
      <c r="B160" t="s">
        <v>650</v>
      </c>
      <c r="C160">
        <v>155</v>
      </c>
    </row>
    <row r="161" spans="1:3">
      <c r="A161" t="s">
        <v>592</v>
      </c>
      <c r="B161" t="s">
        <v>646</v>
      </c>
      <c r="C161">
        <v>156</v>
      </c>
    </row>
    <row r="162" spans="1:3">
      <c r="A162" t="s">
        <v>593</v>
      </c>
      <c r="B162" t="s">
        <v>644</v>
      </c>
      <c r="C162">
        <v>157</v>
      </c>
    </row>
    <row r="163" spans="1:3">
      <c r="A163" t="s">
        <v>594</v>
      </c>
      <c r="B163" t="s">
        <v>644</v>
      </c>
      <c r="C163">
        <v>159</v>
      </c>
    </row>
    <row r="164" spans="1:3">
      <c r="A164" t="s">
        <v>595</v>
      </c>
      <c r="B164" t="s">
        <v>645</v>
      </c>
      <c r="C164">
        <v>161</v>
      </c>
    </row>
    <row r="165" spans="1:3">
      <c r="A165" t="s">
        <v>596</v>
      </c>
      <c r="B165" t="s">
        <v>644</v>
      </c>
      <c r="C165">
        <v>160</v>
      </c>
    </row>
    <row r="166" spans="1:3">
      <c r="A166" t="s">
        <v>597</v>
      </c>
      <c r="B166" t="s">
        <v>644</v>
      </c>
      <c r="C166">
        <v>158</v>
      </c>
    </row>
    <row r="167" spans="1:3">
      <c r="A167" t="s">
        <v>598</v>
      </c>
      <c r="B167" t="s">
        <v>647</v>
      </c>
      <c r="C167">
        <v>162</v>
      </c>
    </row>
    <row r="168" spans="1:3">
      <c r="A168" t="s">
        <v>599</v>
      </c>
      <c r="B168" t="s">
        <v>644</v>
      </c>
      <c r="C168">
        <v>163</v>
      </c>
    </row>
    <row r="169" spans="1:3">
      <c r="A169" t="s">
        <v>600</v>
      </c>
      <c r="B169" t="s">
        <v>647</v>
      </c>
      <c r="C169">
        <v>170</v>
      </c>
    </row>
    <row r="170" spans="1:3">
      <c r="A170" t="s">
        <v>601</v>
      </c>
      <c r="B170" t="s">
        <v>647</v>
      </c>
      <c r="C170">
        <v>171</v>
      </c>
    </row>
    <row r="171" spans="1:3">
      <c r="A171" t="s">
        <v>602</v>
      </c>
      <c r="B171" t="s">
        <v>647</v>
      </c>
      <c r="C171">
        <v>172</v>
      </c>
    </row>
    <row r="172" spans="1:3">
      <c r="A172" t="s">
        <v>603</v>
      </c>
      <c r="B172" t="s">
        <v>644</v>
      </c>
      <c r="C172">
        <v>173</v>
      </c>
    </row>
    <row r="173" spans="1:3">
      <c r="A173" t="s">
        <v>604</v>
      </c>
      <c r="B173" t="s">
        <v>645</v>
      </c>
      <c r="C173">
        <v>174</v>
      </c>
    </row>
    <row r="174" spans="1:3">
      <c r="A174" t="s">
        <v>605</v>
      </c>
      <c r="B174" t="s">
        <v>644</v>
      </c>
      <c r="C174">
        <v>175</v>
      </c>
    </row>
    <row r="175" spans="1:3">
      <c r="A175" t="s">
        <v>606</v>
      </c>
      <c r="B175" t="s">
        <v>644</v>
      </c>
      <c r="C175">
        <v>176</v>
      </c>
    </row>
    <row r="176" spans="1:3">
      <c r="A176" t="s">
        <v>607</v>
      </c>
      <c r="B176" t="s">
        <v>645</v>
      </c>
      <c r="C176">
        <v>177</v>
      </c>
    </row>
    <row r="177" spans="1:3">
      <c r="A177" t="s">
        <v>608</v>
      </c>
      <c r="B177" t="s">
        <v>644</v>
      </c>
      <c r="C177">
        <v>178</v>
      </c>
    </row>
    <row r="178" spans="1:3">
      <c r="A178" t="s">
        <v>609</v>
      </c>
      <c r="B178" t="s">
        <v>647</v>
      </c>
      <c r="C178">
        <v>179</v>
      </c>
    </row>
    <row r="179" spans="1:3">
      <c r="A179" t="s">
        <v>610</v>
      </c>
      <c r="B179" t="s">
        <v>644</v>
      </c>
      <c r="C179">
        <v>180</v>
      </c>
    </row>
    <row r="180" spans="1:3">
      <c r="A180" t="s">
        <v>611</v>
      </c>
      <c r="B180" t="s">
        <v>644</v>
      </c>
      <c r="C180">
        <v>181</v>
      </c>
    </row>
    <row r="181" spans="1:3">
      <c r="A181" t="s">
        <v>612</v>
      </c>
      <c r="B181" t="s">
        <v>644</v>
      </c>
      <c r="C181">
        <v>182</v>
      </c>
    </row>
    <row r="182" spans="1:3">
      <c r="A182" t="s">
        <v>613</v>
      </c>
      <c r="B182" t="s">
        <v>646</v>
      </c>
      <c r="C182">
        <v>183</v>
      </c>
    </row>
    <row r="183" spans="1:3">
      <c r="A183" t="s">
        <v>614</v>
      </c>
      <c r="B183" t="s">
        <v>647</v>
      </c>
      <c r="C183">
        <v>184</v>
      </c>
    </row>
    <row r="184" spans="1:3">
      <c r="A184" t="s">
        <v>615</v>
      </c>
      <c r="B184" t="s">
        <v>644</v>
      </c>
      <c r="C184">
        <v>185</v>
      </c>
    </row>
    <row r="185" spans="1:3">
      <c r="A185" t="s">
        <v>616</v>
      </c>
      <c r="B185" t="s">
        <v>645</v>
      </c>
      <c r="C185">
        <v>186</v>
      </c>
    </row>
    <row r="186" spans="1:3">
      <c r="A186" t="s">
        <v>617</v>
      </c>
      <c r="B186" t="s">
        <v>645</v>
      </c>
      <c r="C186">
        <v>187</v>
      </c>
    </row>
    <row r="187" spans="1:3">
      <c r="A187" t="s">
        <v>618</v>
      </c>
      <c r="B187" t="s">
        <v>644</v>
      </c>
      <c r="C187">
        <v>188</v>
      </c>
    </row>
    <row r="188" spans="1:3">
      <c r="A188" t="s">
        <v>619</v>
      </c>
      <c r="B188" t="s">
        <v>644</v>
      </c>
      <c r="C188">
        <v>189</v>
      </c>
    </row>
    <row r="189" spans="1:3">
      <c r="A189" t="s">
        <v>620</v>
      </c>
      <c r="B189" t="s">
        <v>647</v>
      </c>
      <c r="C189">
        <v>207</v>
      </c>
    </row>
    <row r="190" spans="1:3">
      <c r="A190" t="s">
        <v>621</v>
      </c>
      <c r="B190" t="s">
        <v>647</v>
      </c>
      <c r="C190">
        <v>190</v>
      </c>
    </row>
    <row r="191" spans="1:3">
      <c r="A191" t="s">
        <v>622</v>
      </c>
      <c r="B191" t="s">
        <v>647</v>
      </c>
      <c r="C191">
        <v>191</v>
      </c>
    </row>
    <row r="192" spans="1:3">
      <c r="A192" t="s">
        <v>623</v>
      </c>
      <c r="B192" t="s">
        <v>644</v>
      </c>
      <c r="C192">
        <v>192</v>
      </c>
    </row>
    <row r="193" spans="1:3">
      <c r="A193" t="s">
        <v>624</v>
      </c>
      <c r="B193" t="s">
        <v>644</v>
      </c>
      <c r="C193">
        <v>194</v>
      </c>
    </row>
    <row r="194" spans="1:3">
      <c r="A194" t="s">
        <v>625</v>
      </c>
      <c r="B194" t="s">
        <v>648</v>
      </c>
      <c r="C194">
        <v>195</v>
      </c>
    </row>
    <row r="195" spans="1:3">
      <c r="A195" t="s">
        <v>626</v>
      </c>
      <c r="B195" t="s">
        <v>646</v>
      </c>
      <c r="C195">
        <v>196</v>
      </c>
    </row>
    <row r="196" spans="1:3">
      <c r="A196" t="s">
        <v>627</v>
      </c>
      <c r="B196" t="s">
        <v>644</v>
      </c>
      <c r="C196">
        <v>193</v>
      </c>
    </row>
    <row r="197" spans="1:3">
      <c r="A197" t="s">
        <v>628</v>
      </c>
      <c r="B197" t="s">
        <v>646</v>
      </c>
      <c r="C197">
        <v>206</v>
      </c>
    </row>
    <row r="198" spans="1:3">
      <c r="A198" t="s">
        <v>629</v>
      </c>
      <c r="B198" t="s">
        <v>647</v>
      </c>
      <c r="C198">
        <v>197</v>
      </c>
    </row>
    <row r="199" spans="1:3">
      <c r="A199" t="s">
        <v>630</v>
      </c>
      <c r="B199" t="s">
        <v>647</v>
      </c>
      <c r="C199">
        <v>198</v>
      </c>
    </row>
    <row r="200" spans="1:3">
      <c r="A200" t="s">
        <v>631</v>
      </c>
      <c r="B200" t="s">
        <v>644</v>
      </c>
      <c r="C200">
        <v>199</v>
      </c>
    </row>
    <row r="201" spans="1:3">
      <c r="A201" t="s">
        <v>632</v>
      </c>
      <c r="B201" t="s">
        <v>644</v>
      </c>
      <c r="C201">
        <v>200</v>
      </c>
    </row>
    <row r="202" spans="1:3">
      <c r="A202" t="s">
        <v>633</v>
      </c>
      <c r="B202" t="s">
        <v>644</v>
      </c>
      <c r="C202">
        <v>201</v>
      </c>
    </row>
    <row r="203" spans="1:3">
      <c r="A203" t="s">
        <v>634</v>
      </c>
      <c r="B203" t="s">
        <v>648</v>
      </c>
      <c r="C203">
        <v>202</v>
      </c>
    </row>
    <row r="204" spans="1:3">
      <c r="A204" t="s">
        <v>635</v>
      </c>
      <c r="B204" t="s">
        <v>648</v>
      </c>
      <c r="C204">
        <v>203</v>
      </c>
    </row>
    <row r="205" spans="1:3">
      <c r="A205" t="s">
        <v>636</v>
      </c>
      <c r="B205" t="s">
        <v>644</v>
      </c>
      <c r="C205">
        <v>6</v>
      </c>
    </row>
    <row r="206" spans="1:3">
      <c r="A206" t="s">
        <v>637</v>
      </c>
      <c r="B206" t="s">
        <v>644</v>
      </c>
      <c r="C206">
        <v>16</v>
      </c>
    </row>
    <row r="207" spans="1:3">
      <c r="A207" t="s">
        <v>638</v>
      </c>
      <c r="B207" t="s">
        <v>644</v>
      </c>
      <c r="C207">
        <v>164</v>
      </c>
    </row>
    <row r="208" spans="1:3">
      <c r="A208" t="s">
        <v>639</v>
      </c>
      <c r="B208" t="s">
        <v>644</v>
      </c>
      <c r="C208">
        <v>165</v>
      </c>
    </row>
    <row r="209" spans="1:3">
      <c r="A209" t="s">
        <v>640</v>
      </c>
      <c r="B209" t="s">
        <v>644</v>
      </c>
      <c r="C209">
        <v>166</v>
      </c>
    </row>
    <row r="210" spans="1:3">
      <c r="A210" t="s">
        <v>641</v>
      </c>
      <c r="B210" t="s">
        <v>644</v>
      </c>
      <c r="C210">
        <v>167</v>
      </c>
    </row>
    <row r="211" spans="1:3">
      <c r="A211" t="s">
        <v>642</v>
      </c>
      <c r="B211" t="s">
        <v>644</v>
      </c>
      <c r="C211">
        <v>168</v>
      </c>
    </row>
    <row r="212" spans="1:3">
      <c r="A212" t="s">
        <v>643</v>
      </c>
      <c r="B212" t="s">
        <v>646</v>
      </c>
      <c r="C212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PL2_Horarios</vt:lpstr>
      <vt:lpstr>Docentes_Lista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2025-10-25T22:55:28Z</dcterms:created>
  <dcterms:modified xsi:type="dcterms:W3CDTF">2025-10-25T22:55:28Z</dcterms:modified>
</cp:coreProperties>
</file>